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BZ\Modul 162\"/>
    </mc:Choice>
  </mc:AlternateContent>
  <xr:revisionPtr revIDLastSave="0" documentId="13_ncr:1_{081164CE-0BB5-46CD-BF59-426826D92A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hdaten" sheetId="1" r:id="rId1"/>
    <sheet name="Bereinigt" sheetId="7" r:id="rId2"/>
    <sheet name="Auswertung" sheetId="3" r:id="rId3"/>
    <sheet name="Diagramme" sheetId="4" r:id="rId4"/>
    <sheet name="Datenqualität" sheetId="11" r:id="rId5"/>
  </sheets>
  <definedNames>
    <definedName name="ExterneDaten_2" localSheetId="1" hidden="1">Bereinigt!$A$1:$H$145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B3" i="3"/>
  <c r="B4" i="3"/>
  <c r="B5" i="3"/>
  <c r="B6" i="3"/>
  <c r="B7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56273-3E8B-4E6E-A0AF-9C4F5ECC2F58}" keepAlive="1" name="Abfrage - Bereinigt" description="Verbindung mit der Abfrage 'Bereinigt' in der Arbeitsmappe." type="5" refreshedVersion="8" background="1" saveData="1">
    <dbPr connection="Provider=Microsoft.Mashup.OleDb.1;Data Source=$Workbook$;Location=Bereinigt;Extended Properties=&quot;&quot;" command="SELECT * FROM [Bereinigt]"/>
  </connection>
  <connection id="2" xr16:uid="{39BC00CC-F877-4F4C-940D-2D9B48B9759A}" keepAlive="1" name="Abfrage - Bereinigt (2)" description="Verbindung mit der Abfrage 'Bereinigt (2)' in der Arbeitsmappe." type="5" refreshedVersion="8" background="1" saveData="1">
    <dbPr connection="Provider=Microsoft.Mashup.OleDb.1;Data Source=$Workbook$;Location=&quot;Bereinigt (2)&quot;;Extended Properties=&quot;&quot;" command="SELECT * FROM [Bereinigt (2)]"/>
  </connection>
  <connection id="3" xr16:uid="{52362FC4-6138-4F77-8974-CC46AF57C7CF}" keepAlive="1" name="Abfrage - WGRohdaten" description="Verbindung mit der Abfrage 'WGRohdaten' in der Arbeitsmappe." type="5" refreshedVersion="8" background="1" saveData="1">
    <dbPr connection="Provider=Microsoft.Mashup.OleDb.1;Data Source=$Workbook$;Location=WGRohdaten;Extended Properties=&quot;&quot;" command="SELECT * FROM [WGRohdaten]"/>
  </connection>
  <connection id="4" xr16:uid="{E3D7CC9B-DA5C-4F65-B36E-1F73FF7A3D8D}" keepAlive="1" name="Abfrage - WGRohdaten_2" description="Verbindung mit der Abfrage 'WGRohdaten_2' in der Arbeitsmappe." type="5" refreshedVersion="0" background="1">
    <dbPr connection="Provider=Microsoft.Mashup.OleDb.1;Data Source=$Workbook$;Location=WGRohdaten_2;Extended Properties=&quot;&quot;" command="SELECT * FROM [WGRohdaten_2]"/>
  </connection>
</connections>
</file>

<file path=xl/sharedStrings.xml><?xml version="1.0" encoding="utf-8"?>
<sst xmlns="http://schemas.openxmlformats.org/spreadsheetml/2006/main" count="1082" uniqueCount="205">
  <si>
    <t>Inserat_ID</t>
  </si>
  <si>
    <t>Datum</t>
  </si>
  <si>
    <t>Quartier</t>
  </si>
  <si>
    <t>Zimmer</t>
  </si>
  <si>
    <t>Monatsmiete_CHF</t>
  </si>
  <si>
    <t>Wohnfläche_m2</t>
  </si>
  <si>
    <t>Mitbewohner</t>
  </si>
  <si>
    <t>Möbliert</t>
  </si>
  <si>
    <t>WG-000</t>
  </si>
  <si>
    <t>15.09.2026</t>
  </si>
  <si>
    <t>Oerlikon</t>
  </si>
  <si>
    <t>Ja</t>
  </si>
  <si>
    <t>WG-001</t>
  </si>
  <si>
    <t>Wiedikon</t>
  </si>
  <si>
    <t>Nein</t>
  </si>
  <si>
    <t>WG-002</t>
  </si>
  <si>
    <t>Altstetten</t>
  </si>
  <si>
    <t>WG-003</t>
  </si>
  <si>
    <t>Enge</t>
  </si>
  <si>
    <t>WG-004</t>
  </si>
  <si>
    <t>Seebach</t>
  </si>
  <si>
    <t>WG-005</t>
  </si>
  <si>
    <t>Aussersihl</t>
  </si>
  <si>
    <t>WG-006</t>
  </si>
  <si>
    <t>WG-007</t>
  </si>
  <si>
    <t>WG-008</t>
  </si>
  <si>
    <t>WG-009</t>
  </si>
  <si>
    <t>WG-010</t>
  </si>
  <si>
    <t>WG-011</t>
  </si>
  <si>
    <t>WG-012</t>
  </si>
  <si>
    <t>OERLIKON</t>
  </si>
  <si>
    <t>WG-013</t>
  </si>
  <si>
    <t>WIEDIKON</t>
  </si>
  <si>
    <t>WG-014</t>
  </si>
  <si>
    <t>ALTSTETTEN</t>
  </si>
  <si>
    <t>WG-015</t>
  </si>
  <si>
    <t>ENGE</t>
  </si>
  <si>
    <t>WG-016</t>
  </si>
  <si>
    <t>SEEBACH</t>
  </si>
  <si>
    <t>WG-017</t>
  </si>
  <si>
    <t>AUSSERSIHL</t>
  </si>
  <si>
    <t>WG-018</t>
  </si>
  <si>
    <t>16.09.2026</t>
  </si>
  <si>
    <t>WG-019</t>
  </si>
  <si>
    <t>WG-020</t>
  </si>
  <si>
    <t>WG-021</t>
  </si>
  <si>
    <t>WG-022</t>
  </si>
  <si>
    <t>16/09/2026</t>
  </si>
  <si>
    <t>WG-023</t>
  </si>
  <si>
    <t>2026-09-16</t>
  </si>
  <si>
    <t>WG-024</t>
  </si>
  <si>
    <t>17/09/2026</t>
  </si>
  <si>
    <t>WG-025</t>
  </si>
  <si>
    <t>2026-09-17</t>
  </si>
  <si>
    <t>WG-026</t>
  </si>
  <si>
    <t>CHF 950</t>
  </si>
  <si>
    <t>WG-027</t>
  </si>
  <si>
    <t>1'020 CHF</t>
  </si>
  <si>
    <t>WG-028</t>
  </si>
  <si>
    <t>995.-</t>
  </si>
  <si>
    <t>WG-029</t>
  </si>
  <si>
    <t>1,075.50 CHF</t>
  </si>
  <si>
    <t>WG-030</t>
  </si>
  <si>
    <t>WG-031</t>
  </si>
  <si>
    <t>WG-032</t>
  </si>
  <si>
    <t>WG-033</t>
  </si>
  <si>
    <t>WG-034</t>
  </si>
  <si>
    <t>WG-035</t>
  </si>
  <si>
    <t>WG-036</t>
  </si>
  <si>
    <t>17.09.2026</t>
  </si>
  <si>
    <t>WG-037</t>
  </si>
  <si>
    <t>WG-038</t>
  </si>
  <si>
    <t>WG-039</t>
  </si>
  <si>
    <t>WG-040</t>
  </si>
  <si>
    <t>WG-041</t>
  </si>
  <si>
    <t>WG-042</t>
  </si>
  <si>
    <t>JA</t>
  </si>
  <si>
    <t>WG-043</t>
  </si>
  <si>
    <t>nein</t>
  </si>
  <si>
    <t>WG-044</t>
  </si>
  <si>
    <t>WG-045</t>
  </si>
  <si>
    <t>WG-046</t>
  </si>
  <si>
    <t>1 Zimmer</t>
  </si>
  <si>
    <t>WG-047</t>
  </si>
  <si>
    <t>1.5 Zimmer</t>
  </si>
  <si>
    <t>WG-048</t>
  </si>
  <si>
    <t>WG-049</t>
  </si>
  <si>
    <t>WG-050</t>
  </si>
  <si>
    <t>ja</t>
  </si>
  <si>
    <t>WG-051</t>
  </si>
  <si>
    <t>NEIN</t>
  </si>
  <si>
    <t>WG-052</t>
  </si>
  <si>
    <t>WG-053</t>
  </si>
  <si>
    <t>WG-054</t>
  </si>
  <si>
    <t>18.09.2026</t>
  </si>
  <si>
    <t>WG-055</t>
  </si>
  <si>
    <t>WG-056</t>
  </si>
  <si>
    <t>WG-057</t>
  </si>
  <si>
    <t>WG-058</t>
  </si>
  <si>
    <t>WG-059</t>
  </si>
  <si>
    <t>WG-060</t>
  </si>
  <si>
    <t>WG-061</t>
  </si>
  <si>
    <t>WG-062</t>
  </si>
  <si>
    <t>WG-063</t>
  </si>
  <si>
    <t>WG-064</t>
  </si>
  <si>
    <t>WG-065</t>
  </si>
  <si>
    <t>WG-066</t>
  </si>
  <si>
    <t>WG-067</t>
  </si>
  <si>
    <t>WG-068</t>
  </si>
  <si>
    <t>WG-069</t>
  </si>
  <si>
    <t>WG-070</t>
  </si>
  <si>
    <t>WG-071</t>
  </si>
  <si>
    <t>WG-072</t>
  </si>
  <si>
    <t>19.09.2026</t>
  </si>
  <si>
    <t>WG-073</t>
  </si>
  <si>
    <t>WG-074</t>
  </si>
  <si>
    <t>WG-075</t>
  </si>
  <si>
    <t>WG-076</t>
  </si>
  <si>
    <t>WG-077</t>
  </si>
  <si>
    <t>WG-078</t>
  </si>
  <si>
    <t>WG-079</t>
  </si>
  <si>
    <t>WG-080</t>
  </si>
  <si>
    <t>WG-081</t>
  </si>
  <si>
    <t>WG-082</t>
  </si>
  <si>
    <t>WG-083</t>
  </si>
  <si>
    <t>WG-084</t>
  </si>
  <si>
    <t>WG-085</t>
  </si>
  <si>
    <t>WG-086</t>
  </si>
  <si>
    <t>WG-087</t>
  </si>
  <si>
    <t>WG-088</t>
  </si>
  <si>
    <t>WG-089</t>
  </si>
  <si>
    <t>WG-090</t>
  </si>
  <si>
    <t>20.09.2026</t>
  </si>
  <si>
    <t>WG-091</t>
  </si>
  <si>
    <t>WG-092</t>
  </si>
  <si>
    <t>WG-093</t>
  </si>
  <si>
    <t>WG-094</t>
  </si>
  <si>
    <t>WG-095</t>
  </si>
  <si>
    <t>WG-096</t>
  </si>
  <si>
    <t>WG-097</t>
  </si>
  <si>
    <t>WG-098</t>
  </si>
  <si>
    <t>WG-099</t>
  </si>
  <si>
    <t>WG-100</t>
  </si>
  <si>
    <t>WG-101</t>
  </si>
  <si>
    <t>WG-102</t>
  </si>
  <si>
    <t>WG-103</t>
  </si>
  <si>
    <t>WG-104</t>
  </si>
  <si>
    <t>WG-105</t>
  </si>
  <si>
    <t>WG-106</t>
  </si>
  <si>
    <t>WG-107</t>
  </si>
  <si>
    <t>WG-108</t>
  </si>
  <si>
    <t>21.09.2026</t>
  </si>
  <si>
    <t>WG-109</t>
  </si>
  <si>
    <t>WG-110</t>
  </si>
  <si>
    <t>WG-111</t>
  </si>
  <si>
    <t>WG-112</t>
  </si>
  <si>
    <t>WG-113</t>
  </si>
  <si>
    <t>WG-114</t>
  </si>
  <si>
    <t>WG-115</t>
  </si>
  <si>
    <t>WG-116</t>
  </si>
  <si>
    <t>WG-117</t>
  </si>
  <si>
    <t>WG-118</t>
  </si>
  <si>
    <t>WG-119</t>
  </si>
  <si>
    <t>WG-120</t>
  </si>
  <si>
    <t>WG-121</t>
  </si>
  <si>
    <t>WG-122</t>
  </si>
  <si>
    <t>WG-123</t>
  </si>
  <si>
    <t>WG-124</t>
  </si>
  <si>
    <t>WG-125</t>
  </si>
  <si>
    <t>WG-126</t>
  </si>
  <si>
    <t>22.09.2026</t>
  </si>
  <si>
    <t>WG-127</t>
  </si>
  <si>
    <t>WG-128</t>
  </si>
  <si>
    <t>WG-129</t>
  </si>
  <si>
    <t>WG-130</t>
  </si>
  <si>
    <t>WG-131</t>
  </si>
  <si>
    <t>WG-132</t>
  </si>
  <si>
    <t>WG-133</t>
  </si>
  <si>
    <t>WG-134</t>
  </si>
  <si>
    <t>WG-135</t>
  </si>
  <si>
    <t>WG-136</t>
  </si>
  <si>
    <t>WG-137</t>
  </si>
  <si>
    <t>WG-138</t>
  </si>
  <si>
    <t>WG-139</t>
  </si>
  <si>
    <t>WG-140</t>
  </si>
  <si>
    <t>WG-141</t>
  </si>
  <si>
    <t>WG-142</t>
  </si>
  <si>
    <t>WG-143</t>
  </si>
  <si>
    <t>Anzahl WG-Zimmer</t>
  </si>
  <si>
    <t>Durchschnittsmiete CHF</t>
  </si>
  <si>
    <t/>
  </si>
  <si>
    <t>Unterschiedliche Schreibweise der Quartiere</t>
  </si>
  <si>
    <t>Vereinheitlicht</t>
  </si>
  <si>
    <t>Text entfernt, in Zahl umgewandelt</t>
  </si>
  <si>
    <t>Textbestandteile entfernt, in Zahl umgewandelt</t>
  </si>
  <si>
    <t>Unterschiedliche Datumsformate</t>
  </si>
  <si>
    <t>Unterschiedliche Schreibweisen bei Ja/Nein</t>
  </si>
  <si>
    <t>Fehlende Werte</t>
  </si>
  <si>
    <t>Leer gelassen</t>
  </si>
  <si>
    <t>Doppelte Datensätze</t>
  </si>
  <si>
    <t>Entfernt</t>
  </si>
  <si>
    <t>Zusätzlicher Text bei Zimmer, z. B. 1 Zimmer</t>
  </si>
  <si>
    <t>Unterschiedliche Mietformate, z. B. CHF 950, 950 CHF, 1'020 CHF</t>
  </si>
  <si>
    <t>Probleme</t>
  </si>
  <si>
    <t>Massnahmen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</si>
</sst>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CHF&quot;\ #,##0.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A7D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168" fontId="0" fillId="0" borderId="0" xfId="0" applyNumberFormat="1"/>
  </cellXfs>
  <cellStyles count="2">
    <cellStyle name="Normal" xfId="1" xr:uid="{00000000-0005-0000-0000-000000000000}"/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Durchschnittsmiete CHF nach Quartier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Auswertung!$C$1</c:f>
              <c:strCache>
                <c:ptCount val="1"/>
                <c:pt idx="0">
                  <c:v>Durchschnittsmiete CHF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Auswertung!$A$2:$A$7</c:f>
              <c:strCache>
                <c:ptCount val="6"/>
                <c:pt idx="0">
                  <c:v>Oerlikon</c:v>
                </c:pt>
                <c:pt idx="1">
                  <c:v>Wiedikon</c:v>
                </c:pt>
                <c:pt idx="2">
                  <c:v>Altstetten</c:v>
                </c:pt>
                <c:pt idx="3">
                  <c:v>Enge</c:v>
                </c:pt>
                <c:pt idx="4">
                  <c:v>Seebach</c:v>
                </c:pt>
                <c:pt idx="5">
                  <c:v>Aussersihl</c:v>
                </c:pt>
              </c:strCache>
            </c:strRef>
          </c:cat>
          <c:val>
            <c:numRef>
              <c:f>Auswertung!$C$2:$C$7</c:f>
              <c:numCache>
                <c:formatCode>"CHF"\ #,##0.00</c:formatCode>
                <c:ptCount val="6"/>
                <c:pt idx="0">
                  <c:v>1017.1666666666666</c:v>
                </c:pt>
                <c:pt idx="1">
                  <c:v>1116.8260869565217</c:v>
                </c:pt>
                <c:pt idx="2">
                  <c:v>934</c:v>
                </c:pt>
                <c:pt idx="3">
                  <c:v>1261.5652173913043</c:v>
                </c:pt>
                <c:pt idx="4">
                  <c:v>894.08333333333337</c:v>
                </c:pt>
                <c:pt idx="5">
                  <c:v>1086.9347826086957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934-8397-1B9F271B9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135343"/>
        <c:axId val="864670991"/>
      </c:barChart>
      <c:catAx>
        <c:axId val="103913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4670991"/>
        <c:crosses val="autoZero"/>
        <c:auto val="1"/>
        <c:lblAlgn val="ctr"/>
        <c:lblOffset val="100"/>
        <c:noMultiLvlLbl val="0"/>
      </c:catAx>
      <c:valAx>
        <c:axId val="8646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CHF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13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WG-Zimmer nach Quartier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Auswertung!$B$1</c:f>
              <c:strCache>
                <c:ptCount val="1"/>
                <c:pt idx="0">
                  <c:v>Anzahl WG-Zimmer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Auswertung!$A$2:$A$7</c:f>
              <c:strCache>
                <c:ptCount val="6"/>
                <c:pt idx="0">
                  <c:v>Oerlikon</c:v>
                </c:pt>
                <c:pt idx="1">
                  <c:v>Wiedikon</c:v>
                </c:pt>
                <c:pt idx="2">
                  <c:v>Altstetten</c:v>
                </c:pt>
                <c:pt idx="3">
                  <c:v>Enge</c:v>
                </c:pt>
                <c:pt idx="4">
                  <c:v>Seebach</c:v>
                </c:pt>
                <c:pt idx="5">
                  <c:v>Aussersihl</c:v>
                </c:pt>
              </c:strCache>
            </c:strRef>
          </c:cat>
          <c:val>
            <c:numRef>
              <c:f>Auswertung!$B$2:$B$7</c:f>
              <c:numCache>
                <c:formatCode>General</c:formatCode>
                <c:ptCount val="6"/>
                <c:pt idx="0">
                  <c:v>24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7-469F-9D6A-6444D27B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8312447"/>
        <c:axId val="864713231"/>
      </c:barChart>
      <c:catAx>
        <c:axId val="97831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4713231"/>
        <c:crosses val="autoZero"/>
        <c:auto val="1"/>
        <c:lblAlgn val="ctr"/>
        <c:lblOffset val="100"/>
        <c:noMultiLvlLbl val="0"/>
      </c:catAx>
      <c:valAx>
        <c:axId val="8647132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831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6350</xdr:rowOff>
    </xdr:from>
    <xdr:to>
      <xdr:col>7</xdr:col>
      <xdr:colOff>628650</xdr:colOff>
      <xdr:row>16</xdr:row>
      <xdr:rowOff>82550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C0A56F3-3EA9-4D72-9FEB-B3B384BD9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628650</xdr:colOff>
      <xdr:row>1</xdr:row>
      <xdr:rowOff>12700</xdr:rowOff>
    </xdr:from>
    <xdr:to>
      <xdr:col>15</xdr:col>
      <xdr:colOff>577850</xdr:colOff>
      <xdr:row>16</xdr:row>
      <xdr:rowOff>88900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5ACA958-1829-45C9-A47F-C7E84B81C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1" xr16:uid="{E0363247-74DD-4E78-A011-7CEA5E4211D9}" autoFormatId="16" applyNumberFormats="0" applyBorderFormats="0" applyFontFormats="0" applyPatternFormats="0" applyAlignmentFormats="0" applyWidthHeightFormats="0">
  <queryTableRefresh nextId="10">
    <queryTableFields count="8">
      <queryTableField id="1" name="Inserat_ID" tableColumnId="1"/>
      <queryTableField id="2" name="Datum" tableColumnId="2"/>
      <queryTableField id="3" name="Quartier" tableColumnId="3"/>
      <queryTableField id="4" name="Zimmer" tableColumnId="4"/>
      <queryTableField id="5" name="Monatsmiete_CHF" tableColumnId="5"/>
      <queryTableField id="6" name="Wohnfläche_m2" tableColumnId="6"/>
      <queryTableField id="7" name="Mitbewohner" tableColumnId="7"/>
      <queryTableField id="8" name="Möbliert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GRohdaten" displayName="WGRohdaten" ref="A1:H151" totalsRowShown="0">
  <tableColumns count="8">
    <tableColumn id="1" xr3:uid="{00000000-0010-0000-0000-000001000000}" name="Inserat_ID"/>
    <tableColumn id="2" xr3:uid="{00000000-0010-0000-0000-000002000000}" name="Datum"/>
    <tableColumn id="3" xr3:uid="{00000000-0010-0000-0000-000003000000}" name="Quartier"/>
    <tableColumn id="4" xr3:uid="{00000000-0010-0000-0000-000004000000}" name="Zimmer"/>
    <tableColumn id="5" xr3:uid="{00000000-0010-0000-0000-000005000000}" name="Monatsmiete_CHF"/>
    <tableColumn id="6" xr3:uid="{00000000-0010-0000-0000-000006000000}" name="Wohnfläche_m2"/>
    <tableColumn id="7" xr3:uid="{00000000-0010-0000-0000-000007000000}" name="Mitbewohner"/>
    <tableColumn id="8" xr3:uid="{00000000-0010-0000-0000-000008000000}" name="Möblie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23204-9812-4D53-A74B-58F9F625A2FE}" name="Bereinigt" displayName="Bereinigt" ref="A1:H145" tableType="queryTable" totalsRowShown="0">
  <autoFilter ref="A1:H145" xr:uid="{DE423204-9812-4D53-A74B-58F9F625A2FE}"/>
  <tableColumns count="8">
    <tableColumn id="1" xr3:uid="{53ED738C-2AC5-4444-8C11-804090FFCC5D}" uniqueName="1" name="Inserat_ID" queryTableFieldId="1" dataDxfId="4"/>
    <tableColumn id="2" xr3:uid="{7830B294-8FAA-467D-AB19-7EF34793B681}" uniqueName="2" name="Datum" queryTableFieldId="2" dataDxfId="3"/>
    <tableColumn id="3" xr3:uid="{3FE7856F-DF88-4BA6-B8FD-994C8367FE6B}" uniqueName="3" name="Quartier" queryTableFieldId="3" dataDxfId="2"/>
    <tableColumn id="4" xr3:uid="{9A61C2B7-C36A-45B9-BD8F-C453D6080417}" uniqueName="4" name="Zimmer" queryTableFieldId="4"/>
    <tableColumn id="5" xr3:uid="{70D1052B-7D40-4439-A18A-817F74F604CE}" uniqueName="5" name="Monatsmiete_CHF" queryTableFieldId="5" dataDxfId="1"/>
    <tableColumn id="6" xr3:uid="{A2CB4FEE-4FA9-4693-ACB7-807E6F99A49F}" uniqueName="6" name="Wohnfläche_m2" queryTableFieldId="6"/>
    <tableColumn id="7" xr3:uid="{658E959B-B351-486A-AAF1-B39C2A4CB3B6}" uniqueName="7" name="Mitbewohner" queryTableFieldId="7"/>
    <tableColumn id="8" xr3:uid="{2E2E42A5-4279-42DA-BA87-195B3D5E14D4}" uniqueName="8" name="Möblier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15" workbookViewId="0">
      <selection activeCell="G5" sqref="G5"/>
    </sheetView>
  </sheetViews>
  <sheetFormatPr baseColWidth="10" defaultColWidth="8.6640625" defaultRowHeight="14"/>
  <cols>
    <col min="1" max="1" width="14" customWidth="1"/>
    <col min="2" max="2" width="15" customWidth="1"/>
    <col min="3" max="3" width="18" customWidth="1"/>
    <col min="4" max="4" width="13" customWidth="1"/>
    <col min="5" max="5" width="20" customWidth="1"/>
    <col min="6" max="6" width="17" customWidth="1"/>
    <col min="7" max="7" width="15" customWidth="1"/>
    <col min="8" max="8" width="14" customWidth="1"/>
  </cols>
  <sheetData>
    <row r="1" spans="1: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>
        <v>880</v>
      </c>
      <c r="F2">
        <v>12</v>
      </c>
      <c r="G2">
        <v>2</v>
      </c>
      <c r="H2" t="s">
        <v>11</v>
      </c>
    </row>
    <row r="3" spans="1:8">
      <c r="A3" t="s">
        <v>12</v>
      </c>
      <c r="B3" t="s">
        <v>9</v>
      </c>
      <c r="C3" t="s">
        <v>13</v>
      </c>
      <c r="D3">
        <v>1</v>
      </c>
      <c r="E3">
        <v>1017</v>
      </c>
      <c r="F3">
        <v>15</v>
      </c>
      <c r="G3">
        <v>3</v>
      </c>
      <c r="H3" t="s">
        <v>14</v>
      </c>
    </row>
    <row r="4" spans="1:8">
      <c r="A4" t="s">
        <v>15</v>
      </c>
      <c r="B4" t="s">
        <v>9</v>
      </c>
      <c r="C4" t="s">
        <v>16</v>
      </c>
      <c r="D4">
        <v>1</v>
      </c>
      <c r="E4">
        <v>874</v>
      </c>
      <c r="F4">
        <v>18</v>
      </c>
      <c r="G4">
        <v>4</v>
      </c>
      <c r="H4" t="s">
        <v>11</v>
      </c>
    </row>
    <row r="5" spans="1:8">
      <c r="A5" t="s">
        <v>17</v>
      </c>
      <c r="B5" t="s">
        <v>9</v>
      </c>
      <c r="C5" t="s">
        <v>18</v>
      </c>
      <c r="D5">
        <v>1.5</v>
      </c>
      <c r="E5">
        <v>1261</v>
      </c>
      <c r="F5">
        <v>21</v>
      </c>
      <c r="G5">
        <v>5</v>
      </c>
      <c r="H5" t="s">
        <v>14</v>
      </c>
    </row>
    <row r="6" spans="1:8">
      <c r="A6" t="s">
        <v>19</v>
      </c>
      <c r="B6" t="s">
        <v>9</v>
      </c>
      <c r="C6" t="s">
        <v>20</v>
      </c>
      <c r="D6">
        <v>2</v>
      </c>
      <c r="E6">
        <v>898</v>
      </c>
      <c r="F6">
        <v>24</v>
      </c>
      <c r="G6">
        <v>2</v>
      </c>
      <c r="H6" t="s">
        <v>11</v>
      </c>
    </row>
    <row r="7" spans="1:8">
      <c r="A7" t="s">
        <v>21</v>
      </c>
      <c r="B7" t="s">
        <v>9</v>
      </c>
      <c r="C7" t="s">
        <v>22</v>
      </c>
      <c r="D7">
        <v>1</v>
      </c>
      <c r="E7">
        <v>1135</v>
      </c>
      <c r="F7">
        <v>27</v>
      </c>
      <c r="G7">
        <v>3</v>
      </c>
      <c r="H7" t="s">
        <v>14</v>
      </c>
    </row>
    <row r="8" spans="1:8">
      <c r="A8" t="s">
        <v>23</v>
      </c>
      <c r="B8" t="s">
        <v>9</v>
      </c>
      <c r="C8" t="s">
        <v>10</v>
      </c>
      <c r="D8">
        <v>1</v>
      </c>
      <c r="E8">
        <v>1102</v>
      </c>
      <c r="F8">
        <v>30</v>
      </c>
      <c r="G8">
        <v>4</v>
      </c>
      <c r="H8" t="s">
        <v>11</v>
      </c>
    </row>
    <row r="9" spans="1:8">
      <c r="A9" t="s">
        <v>24</v>
      </c>
      <c r="B9" t="s">
        <v>9</v>
      </c>
      <c r="C9" t="s">
        <v>13</v>
      </c>
      <c r="D9">
        <v>1</v>
      </c>
      <c r="E9">
        <v>1239</v>
      </c>
      <c r="F9">
        <v>14</v>
      </c>
      <c r="G9">
        <v>5</v>
      </c>
      <c r="H9" t="s">
        <v>14</v>
      </c>
    </row>
    <row r="10" spans="1:8">
      <c r="A10" t="s">
        <v>25</v>
      </c>
      <c r="B10" t="s">
        <v>9</v>
      </c>
      <c r="C10" t="s">
        <v>16</v>
      </c>
      <c r="D10">
        <v>1.5</v>
      </c>
      <c r="E10">
        <v>836</v>
      </c>
      <c r="F10">
        <v>17</v>
      </c>
      <c r="G10">
        <v>2</v>
      </c>
      <c r="H10" t="s">
        <v>11</v>
      </c>
    </row>
    <row r="11" spans="1:8">
      <c r="A11" t="s">
        <v>26</v>
      </c>
      <c r="B11" t="s">
        <v>9</v>
      </c>
      <c r="C11" t="s">
        <v>18</v>
      </c>
      <c r="D11">
        <v>2</v>
      </c>
      <c r="E11">
        <v>1223</v>
      </c>
      <c r="F11">
        <v>20</v>
      </c>
      <c r="G11">
        <v>3</v>
      </c>
      <c r="H11" t="s">
        <v>14</v>
      </c>
    </row>
    <row r="12" spans="1:8">
      <c r="A12" t="s">
        <v>27</v>
      </c>
      <c r="B12" t="s">
        <v>9</v>
      </c>
      <c r="C12" t="s">
        <v>20</v>
      </c>
      <c r="D12">
        <v>1</v>
      </c>
      <c r="E12">
        <v>860</v>
      </c>
      <c r="F12">
        <v>23</v>
      </c>
      <c r="G12">
        <v>4</v>
      </c>
      <c r="H12" t="s">
        <v>11</v>
      </c>
    </row>
    <row r="13" spans="1:8">
      <c r="A13" t="s">
        <v>28</v>
      </c>
      <c r="B13" t="s">
        <v>9</v>
      </c>
      <c r="C13" t="s">
        <v>22</v>
      </c>
      <c r="D13">
        <v>1</v>
      </c>
      <c r="E13">
        <v>1097</v>
      </c>
      <c r="F13">
        <v>26</v>
      </c>
      <c r="G13">
        <v>5</v>
      </c>
      <c r="H13" t="s">
        <v>14</v>
      </c>
    </row>
    <row r="14" spans="1:8">
      <c r="A14" t="s">
        <v>29</v>
      </c>
      <c r="B14" t="s">
        <v>9</v>
      </c>
      <c r="C14" t="s">
        <v>30</v>
      </c>
      <c r="D14">
        <v>1</v>
      </c>
      <c r="E14">
        <v>1064</v>
      </c>
      <c r="F14">
        <v>29</v>
      </c>
      <c r="G14">
        <v>2</v>
      </c>
      <c r="H14" t="s">
        <v>11</v>
      </c>
    </row>
    <row r="15" spans="1:8">
      <c r="A15" t="s">
        <v>31</v>
      </c>
      <c r="B15" t="s">
        <v>9</v>
      </c>
      <c r="C15" t="s">
        <v>32</v>
      </c>
      <c r="D15">
        <v>1.5</v>
      </c>
      <c r="E15">
        <v>1201</v>
      </c>
      <c r="F15">
        <v>13</v>
      </c>
      <c r="G15">
        <v>3</v>
      </c>
      <c r="H15" t="s">
        <v>14</v>
      </c>
    </row>
    <row r="16" spans="1:8">
      <c r="A16" t="s">
        <v>33</v>
      </c>
      <c r="B16" t="s">
        <v>9</v>
      </c>
      <c r="C16" t="s">
        <v>34</v>
      </c>
      <c r="D16">
        <v>2</v>
      </c>
      <c r="E16">
        <v>1058</v>
      </c>
      <c r="F16">
        <v>16</v>
      </c>
      <c r="G16">
        <v>4</v>
      </c>
      <c r="H16" t="s">
        <v>11</v>
      </c>
    </row>
    <row r="17" spans="1:8">
      <c r="A17" t="s">
        <v>35</v>
      </c>
      <c r="B17" t="s">
        <v>9</v>
      </c>
      <c r="C17" t="s">
        <v>36</v>
      </c>
      <c r="D17">
        <v>1</v>
      </c>
      <c r="E17">
        <v>1185</v>
      </c>
      <c r="F17">
        <v>19</v>
      </c>
      <c r="G17">
        <v>5</v>
      </c>
      <c r="H17" t="s">
        <v>14</v>
      </c>
    </row>
    <row r="18" spans="1:8">
      <c r="A18" t="s">
        <v>37</v>
      </c>
      <c r="B18" t="s">
        <v>9</v>
      </c>
      <c r="C18" t="s">
        <v>38</v>
      </c>
      <c r="D18">
        <v>1</v>
      </c>
      <c r="E18">
        <v>822</v>
      </c>
      <c r="F18">
        <v>22</v>
      </c>
      <c r="G18">
        <v>2</v>
      </c>
      <c r="H18" t="s">
        <v>11</v>
      </c>
    </row>
    <row r="19" spans="1:8">
      <c r="A19" t="s">
        <v>39</v>
      </c>
      <c r="B19" t="s">
        <v>9</v>
      </c>
      <c r="C19" t="s">
        <v>40</v>
      </c>
      <c r="D19">
        <v>1</v>
      </c>
      <c r="E19">
        <v>1059</v>
      </c>
      <c r="F19">
        <v>25</v>
      </c>
      <c r="G19">
        <v>3</v>
      </c>
      <c r="H19" t="s">
        <v>14</v>
      </c>
    </row>
    <row r="20" spans="1:8">
      <c r="A20" t="s">
        <v>41</v>
      </c>
      <c r="B20" t="s">
        <v>42</v>
      </c>
      <c r="C20" t="s">
        <v>10</v>
      </c>
      <c r="D20">
        <v>1.5</v>
      </c>
      <c r="E20">
        <v>1026</v>
      </c>
      <c r="F20">
        <v>28</v>
      </c>
      <c r="G20">
        <v>4</v>
      </c>
      <c r="H20" t="s">
        <v>11</v>
      </c>
    </row>
    <row r="21" spans="1:8">
      <c r="A21" t="s">
        <v>43</v>
      </c>
      <c r="B21" t="s">
        <v>42</v>
      </c>
      <c r="C21" t="s">
        <v>13</v>
      </c>
      <c r="D21">
        <v>2</v>
      </c>
      <c r="E21">
        <v>1163</v>
      </c>
      <c r="F21">
        <v>12</v>
      </c>
      <c r="G21">
        <v>5</v>
      </c>
      <c r="H21" t="s">
        <v>14</v>
      </c>
    </row>
    <row r="22" spans="1:8">
      <c r="A22" t="s">
        <v>44</v>
      </c>
      <c r="B22" t="s">
        <v>42</v>
      </c>
      <c r="C22" t="s">
        <v>16</v>
      </c>
      <c r="D22">
        <v>1</v>
      </c>
      <c r="E22">
        <v>1020</v>
      </c>
      <c r="F22">
        <v>15</v>
      </c>
      <c r="G22">
        <v>2</v>
      </c>
      <c r="H22" t="s">
        <v>11</v>
      </c>
    </row>
    <row r="23" spans="1:8">
      <c r="A23" t="s">
        <v>45</v>
      </c>
      <c r="B23" t="s">
        <v>42</v>
      </c>
      <c r="C23" t="s">
        <v>18</v>
      </c>
      <c r="D23">
        <v>1</v>
      </c>
      <c r="E23">
        <v>1407</v>
      </c>
      <c r="F23">
        <v>18</v>
      </c>
      <c r="G23">
        <v>3</v>
      </c>
      <c r="H23" t="s">
        <v>14</v>
      </c>
    </row>
    <row r="24" spans="1:8">
      <c r="A24" t="s">
        <v>46</v>
      </c>
      <c r="B24" t="s">
        <v>47</v>
      </c>
      <c r="C24" t="s">
        <v>20</v>
      </c>
      <c r="D24">
        <v>1</v>
      </c>
      <c r="E24">
        <v>784</v>
      </c>
      <c r="F24">
        <v>21</v>
      </c>
      <c r="G24">
        <v>4</v>
      </c>
      <c r="H24" t="s">
        <v>11</v>
      </c>
    </row>
    <row r="25" spans="1:8">
      <c r="A25" t="s">
        <v>48</v>
      </c>
      <c r="B25" t="s">
        <v>49</v>
      </c>
      <c r="C25" t="s">
        <v>22</v>
      </c>
      <c r="D25">
        <v>1.5</v>
      </c>
      <c r="E25">
        <v>1021</v>
      </c>
      <c r="F25">
        <v>24</v>
      </c>
      <c r="G25">
        <v>5</v>
      </c>
      <c r="H25" t="s">
        <v>14</v>
      </c>
    </row>
    <row r="26" spans="1:8">
      <c r="A26" t="s">
        <v>50</v>
      </c>
      <c r="B26" t="s">
        <v>51</v>
      </c>
      <c r="C26" t="s">
        <v>10</v>
      </c>
      <c r="D26">
        <v>2</v>
      </c>
      <c r="E26">
        <v>988</v>
      </c>
      <c r="F26">
        <v>27</v>
      </c>
      <c r="G26">
        <v>2</v>
      </c>
      <c r="H26" t="s">
        <v>11</v>
      </c>
    </row>
    <row r="27" spans="1:8">
      <c r="A27" t="s">
        <v>52</v>
      </c>
      <c r="B27" t="s">
        <v>53</v>
      </c>
      <c r="C27" t="s">
        <v>13</v>
      </c>
      <c r="D27">
        <v>1</v>
      </c>
      <c r="E27">
        <v>1125</v>
      </c>
      <c r="F27">
        <v>30</v>
      </c>
      <c r="G27">
        <v>3</v>
      </c>
      <c r="H27" t="s">
        <v>14</v>
      </c>
    </row>
    <row r="28" spans="1:8">
      <c r="A28" t="s">
        <v>54</v>
      </c>
      <c r="B28" t="s">
        <v>42</v>
      </c>
      <c r="C28" t="s">
        <v>16</v>
      </c>
      <c r="D28">
        <v>1</v>
      </c>
      <c r="E28" t="s">
        <v>55</v>
      </c>
      <c r="F28">
        <v>14</v>
      </c>
      <c r="G28">
        <v>4</v>
      </c>
      <c r="H28" t="s">
        <v>11</v>
      </c>
    </row>
    <row r="29" spans="1:8">
      <c r="A29" t="s">
        <v>56</v>
      </c>
      <c r="B29" t="s">
        <v>42</v>
      </c>
      <c r="C29" t="s">
        <v>18</v>
      </c>
      <c r="D29">
        <v>1</v>
      </c>
      <c r="E29" t="s">
        <v>57</v>
      </c>
      <c r="F29">
        <v>17</v>
      </c>
      <c r="G29">
        <v>5</v>
      </c>
      <c r="H29" t="s">
        <v>14</v>
      </c>
    </row>
    <row r="30" spans="1:8">
      <c r="A30" t="s">
        <v>58</v>
      </c>
      <c r="B30" t="s">
        <v>42</v>
      </c>
      <c r="C30" t="s">
        <v>20</v>
      </c>
      <c r="D30">
        <v>1.5</v>
      </c>
      <c r="E30" t="s">
        <v>59</v>
      </c>
      <c r="F30">
        <v>20</v>
      </c>
      <c r="G30">
        <v>2</v>
      </c>
      <c r="H30" t="s">
        <v>11</v>
      </c>
    </row>
    <row r="31" spans="1:8">
      <c r="A31" t="s">
        <v>60</v>
      </c>
      <c r="B31" t="s">
        <v>42</v>
      </c>
      <c r="C31" t="s">
        <v>22</v>
      </c>
      <c r="D31">
        <v>2</v>
      </c>
      <c r="E31" t="s">
        <v>61</v>
      </c>
      <c r="F31">
        <v>23</v>
      </c>
      <c r="G31">
        <v>3</v>
      </c>
      <c r="H31" t="s">
        <v>14</v>
      </c>
    </row>
    <row r="32" spans="1:8">
      <c r="A32" t="s">
        <v>62</v>
      </c>
      <c r="B32" t="s">
        <v>42</v>
      </c>
      <c r="C32" t="s">
        <v>10</v>
      </c>
      <c r="D32">
        <v>1</v>
      </c>
      <c r="E32">
        <v>950</v>
      </c>
      <c r="G32">
        <v>4</v>
      </c>
      <c r="H32" t="s">
        <v>11</v>
      </c>
    </row>
    <row r="33" spans="1:8">
      <c r="A33" t="s">
        <v>63</v>
      </c>
      <c r="B33" t="s">
        <v>42</v>
      </c>
      <c r="C33" t="s">
        <v>13</v>
      </c>
      <c r="D33">
        <v>1</v>
      </c>
      <c r="E33">
        <v>1087</v>
      </c>
      <c r="G33">
        <v>5</v>
      </c>
      <c r="H33" t="s">
        <v>14</v>
      </c>
    </row>
    <row r="34" spans="1:8">
      <c r="A34" t="s">
        <v>64</v>
      </c>
      <c r="B34" t="s">
        <v>42</v>
      </c>
      <c r="C34" t="s">
        <v>16</v>
      </c>
      <c r="D34">
        <v>1</v>
      </c>
      <c r="E34">
        <v>944</v>
      </c>
      <c r="G34">
        <v>2</v>
      </c>
      <c r="H34" t="s">
        <v>11</v>
      </c>
    </row>
    <row r="35" spans="1:8">
      <c r="A35" t="s">
        <v>65</v>
      </c>
      <c r="B35" t="s">
        <v>42</v>
      </c>
      <c r="C35" t="s">
        <v>18</v>
      </c>
      <c r="D35">
        <v>1.5</v>
      </c>
      <c r="F35">
        <v>16</v>
      </c>
      <c r="G35">
        <v>3</v>
      </c>
      <c r="H35" t="s">
        <v>14</v>
      </c>
    </row>
    <row r="36" spans="1:8">
      <c r="A36" t="s">
        <v>66</v>
      </c>
      <c r="B36" t="s">
        <v>42</v>
      </c>
      <c r="C36" t="s">
        <v>20</v>
      </c>
      <c r="D36">
        <v>2</v>
      </c>
      <c r="F36">
        <v>19</v>
      </c>
      <c r="G36">
        <v>4</v>
      </c>
      <c r="H36" t="s">
        <v>11</v>
      </c>
    </row>
    <row r="37" spans="1:8">
      <c r="A37" t="s">
        <v>67</v>
      </c>
      <c r="B37" t="s">
        <v>42</v>
      </c>
      <c r="C37" t="s">
        <v>22</v>
      </c>
      <c r="D37">
        <v>1</v>
      </c>
      <c r="F37">
        <v>22</v>
      </c>
      <c r="G37">
        <v>5</v>
      </c>
      <c r="H37" t="s">
        <v>14</v>
      </c>
    </row>
    <row r="38" spans="1:8">
      <c r="A38" t="s">
        <v>68</v>
      </c>
      <c r="B38" t="s">
        <v>69</v>
      </c>
      <c r="C38" t="s">
        <v>10</v>
      </c>
      <c r="D38">
        <v>1</v>
      </c>
      <c r="E38">
        <v>912</v>
      </c>
      <c r="F38">
        <v>25</v>
      </c>
      <c r="G38">
        <v>2</v>
      </c>
      <c r="H38" t="s">
        <v>11</v>
      </c>
    </row>
    <row r="39" spans="1:8">
      <c r="A39" t="s">
        <v>70</v>
      </c>
      <c r="B39" t="s">
        <v>69</v>
      </c>
      <c r="C39" t="s">
        <v>13</v>
      </c>
      <c r="D39">
        <v>1</v>
      </c>
      <c r="E39">
        <v>1049</v>
      </c>
      <c r="F39">
        <v>28</v>
      </c>
      <c r="G39">
        <v>3</v>
      </c>
      <c r="H39" t="s">
        <v>14</v>
      </c>
    </row>
    <row r="40" spans="1:8">
      <c r="A40" t="s">
        <v>71</v>
      </c>
      <c r="B40" t="s">
        <v>69</v>
      </c>
      <c r="C40" t="s">
        <v>16</v>
      </c>
      <c r="D40">
        <v>1.5</v>
      </c>
      <c r="E40">
        <v>906</v>
      </c>
      <c r="F40">
        <v>12</v>
      </c>
      <c r="G40">
        <v>4</v>
      </c>
      <c r="H40" t="s">
        <v>11</v>
      </c>
    </row>
    <row r="41" spans="1:8">
      <c r="A41" t="s">
        <v>72</v>
      </c>
      <c r="B41" t="s">
        <v>69</v>
      </c>
      <c r="C41" t="s">
        <v>18</v>
      </c>
      <c r="D41">
        <v>2</v>
      </c>
      <c r="E41">
        <v>1293</v>
      </c>
      <c r="F41">
        <v>15</v>
      </c>
      <c r="G41">
        <v>5</v>
      </c>
      <c r="H41" t="s">
        <v>14</v>
      </c>
    </row>
    <row r="42" spans="1:8">
      <c r="A42" t="s">
        <v>73</v>
      </c>
      <c r="B42" t="s">
        <v>69</v>
      </c>
      <c r="C42" t="s">
        <v>20</v>
      </c>
      <c r="D42">
        <v>1</v>
      </c>
      <c r="E42">
        <v>930</v>
      </c>
      <c r="F42">
        <v>18</v>
      </c>
      <c r="G42">
        <v>2</v>
      </c>
      <c r="H42" t="s">
        <v>11</v>
      </c>
    </row>
    <row r="43" spans="1:8">
      <c r="A43" t="s">
        <v>74</v>
      </c>
      <c r="B43" t="s">
        <v>69</v>
      </c>
      <c r="C43" t="s">
        <v>22</v>
      </c>
      <c r="D43">
        <v>1</v>
      </c>
      <c r="E43">
        <v>1167</v>
      </c>
      <c r="F43">
        <v>21</v>
      </c>
      <c r="G43">
        <v>3</v>
      </c>
      <c r="H43" t="s">
        <v>14</v>
      </c>
    </row>
    <row r="44" spans="1:8">
      <c r="A44" t="s">
        <v>75</v>
      </c>
      <c r="B44" t="s">
        <v>69</v>
      </c>
      <c r="C44" t="s">
        <v>10</v>
      </c>
      <c r="D44">
        <v>1</v>
      </c>
      <c r="E44">
        <v>1134</v>
      </c>
      <c r="F44">
        <v>24</v>
      </c>
      <c r="G44">
        <v>4</v>
      </c>
      <c r="H44" t="s">
        <v>76</v>
      </c>
    </row>
    <row r="45" spans="1:8">
      <c r="A45" t="s">
        <v>77</v>
      </c>
      <c r="B45" t="s">
        <v>69</v>
      </c>
      <c r="C45" t="s">
        <v>13</v>
      </c>
      <c r="D45">
        <v>1.5</v>
      </c>
      <c r="E45">
        <v>1011</v>
      </c>
      <c r="F45">
        <v>27</v>
      </c>
      <c r="G45">
        <v>5</v>
      </c>
      <c r="H45" t="s">
        <v>78</v>
      </c>
    </row>
    <row r="46" spans="1:8">
      <c r="A46" t="s">
        <v>79</v>
      </c>
      <c r="B46" t="s">
        <v>69</v>
      </c>
      <c r="C46" t="s">
        <v>16</v>
      </c>
      <c r="D46">
        <v>2</v>
      </c>
      <c r="E46">
        <v>868</v>
      </c>
      <c r="F46">
        <v>30</v>
      </c>
      <c r="G46">
        <v>2</v>
      </c>
      <c r="H46" t="s">
        <v>11</v>
      </c>
    </row>
    <row r="47" spans="1:8">
      <c r="A47" t="s">
        <v>80</v>
      </c>
      <c r="B47" t="s">
        <v>69</v>
      </c>
      <c r="C47" t="s">
        <v>18</v>
      </c>
      <c r="D47">
        <v>1</v>
      </c>
      <c r="E47">
        <v>1255</v>
      </c>
      <c r="F47">
        <v>14</v>
      </c>
      <c r="G47">
        <v>3</v>
      </c>
      <c r="H47" t="s">
        <v>14</v>
      </c>
    </row>
    <row r="48" spans="1:8">
      <c r="A48" t="s">
        <v>81</v>
      </c>
      <c r="B48" t="s">
        <v>69</v>
      </c>
      <c r="C48" t="s">
        <v>20</v>
      </c>
      <c r="D48" t="s">
        <v>82</v>
      </c>
      <c r="E48">
        <v>892</v>
      </c>
      <c r="F48">
        <v>17</v>
      </c>
      <c r="G48">
        <v>4</v>
      </c>
      <c r="H48" t="s">
        <v>11</v>
      </c>
    </row>
    <row r="49" spans="1:8">
      <c r="A49" t="s">
        <v>83</v>
      </c>
      <c r="B49" t="s">
        <v>69</v>
      </c>
      <c r="C49" t="s">
        <v>22</v>
      </c>
      <c r="D49" t="s">
        <v>84</v>
      </c>
      <c r="E49">
        <v>1129</v>
      </c>
      <c r="F49">
        <v>20</v>
      </c>
      <c r="G49">
        <v>5</v>
      </c>
      <c r="H49" t="s">
        <v>14</v>
      </c>
    </row>
    <row r="50" spans="1:8">
      <c r="A50" t="s">
        <v>85</v>
      </c>
      <c r="B50" t="s">
        <v>69</v>
      </c>
      <c r="C50" t="s">
        <v>10</v>
      </c>
      <c r="D50">
        <v>1.5</v>
      </c>
      <c r="E50">
        <v>1096</v>
      </c>
      <c r="F50">
        <v>23</v>
      </c>
      <c r="G50">
        <v>2</v>
      </c>
      <c r="H50" t="s">
        <v>11</v>
      </c>
    </row>
    <row r="51" spans="1:8">
      <c r="A51" t="s">
        <v>86</v>
      </c>
      <c r="B51" t="s">
        <v>69</v>
      </c>
      <c r="C51" t="s">
        <v>20</v>
      </c>
      <c r="D51">
        <v>2</v>
      </c>
      <c r="E51">
        <v>1233</v>
      </c>
      <c r="F51">
        <v>26</v>
      </c>
      <c r="G51">
        <v>3</v>
      </c>
      <c r="H51" t="s">
        <v>14</v>
      </c>
    </row>
    <row r="52" spans="1:8">
      <c r="A52" t="s">
        <v>87</v>
      </c>
      <c r="B52" t="s">
        <v>69</v>
      </c>
      <c r="C52" t="s">
        <v>16</v>
      </c>
      <c r="D52">
        <v>1</v>
      </c>
      <c r="E52">
        <v>830</v>
      </c>
      <c r="F52">
        <v>29</v>
      </c>
      <c r="G52">
        <v>4</v>
      </c>
      <c r="H52" t="s">
        <v>88</v>
      </c>
    </row>
    <row r="53" spans="1:8">
      <c r="A53" t="s">
        <v>89</v>
      </c>
      <c r="B53" t="s">
        <v>69</v>
      </c>
      <c r="C53" t="s">
        <v>18</v>
      </c>
      <c r="D53">
        <v>1</v>
      </c>
      <c r="E53">
        <v>1217</v>
      </c>
      <c r="F53">
        <v>13</v>
      </c>
      <c r="G53">
        <v>5</v>
      </c>
      <c r="H53" t="s">
        <v>90</v>
      </c>
    </row>
    <row r="54" spans="1:8">
      <c r="A54" t="s">
        <v>91</v>
      </c>
      <c r="B54" t="s">
        <v>69</v>
      </c>
      <c r="C54" t="s">
        <v>20</v>
      </c>
      <c r="D54">
        <v>1</v>
      </c>
      <c r="E54">
        <v>854</v>
      </c>
      <c r="F54">
        <v>16</v>
      </c>
      <c r="G54">
        <v>2</v>
      </c>
      <c r="H54" t="s">
        <v>11</v>
      </c>
    </row>
    <row r="55" spans="1:8">
      <c r="A55" t="s">
        <v>92</v>
      </c>
      <c r="B55" t="s">
        <v>69</v>
      </c>
      <c r="C55" t="s">
        <v>22</v>
      </c>
      <c r="D55">
        <v>1.5</v>
      </c>
      <c r="E55">
        <v>1091</v>
      </c>
      <c r="F55">
        <v>19</v>
      </c>
      <c r="G55">
        <v>3</v>
      </c>
      <c r="H55" t="s">
        <v>14</v>
      </c>
    </row>
    <row r="56" spans="1:8">
      <c r="A56" t="s">
        <v>93</v>
      </c>
      <c r="B56" t="s">
        <v>94</v>
      </c>
      <c r="C56" t="s">
        <v>10</v>
      </c>
      <c r="D56">
        <v>2</v>
      </c>
      <c r="E56">
        <v>1058</v>
      </c>
      <c r="F56">
        <v>22</v>
      </c>
      <c r="G56">
        <v>4</v>
      </c>
      <c r="H56" t="s">
        <v>11</v>
      </c>
    </row>
    <row r="57" spans="1:8">
      <c r="A57" t="s">
        <v>95</v>
      </c>
      <c r="B57" t="s">
        <v>94</v>
      </c>
      <c r="C57" t="s">
        <v>13</v>
      </c>
      <c r="D57">
        <v>1</v>
      </c>
      <c r="E57">
        <v>1195</v>
      </c>
      <c r="F57">
        <v>25</v>
      </c>
      <c r="G57">
        <v>5</v>
      </c>
      <c r="H57" t="s">
        <v>14</v>
      </c>
    </row>
    <row r="58" spans="1:8">
      <c r="A58" t="s">
        <v>96</v>
      </c>
      <c r="B58" t="s">
        <v>94</v>
      </c>
      <c r="C58" t="s">
        <v>16</v>
      </c>
      <c r="D58">
        <v>1</v>
      </c>
      <c r="E58">
        <v>1052</v>
      </c>
      <c r="F58">
        <v>28</v>
      </c>
      <c r="G58">
        <v>2</v>
      </c>
      <c r="H58" t="s">
        <v>11</v>
      </c>
    </row>
    <row r="59" spans="1:8">
      <c r="A59" t="s">
        <v>97</v>
      </c>
      <c r="B59" t="s">
        <v>94</v>
      </c>
      <c r="C59" t="s">
        <v>18</v>
      </c>
      <c r="D59">
        <v>1</v>
      </c>
      <c r="E59">
        <v>1179</v>
      </c>
      <c r="F59">
        <v>12</v>
      </c>
      <c r="G59">
        <v>3</v>
      </c>
      <c r="H59" t="s">
        <v>14</v>
      </c>
    </row>
    <row r="60" spans="1:8">
      <c r="A60" t="s">
        <v>98</v>
      </c>
      <c r="B60" t="s">
        <v>94</v>
      </c>
      <c r="C60" t="s">
        <v>20</v>
      </c>
      <c r="D60">
        <v>1.5</v>
      </c>
      <c r="E60">
        <v>816</v>
      </c>
      <c r="F60">
        <v>15</v>
      </c>
      <c r="G60">
        <v>4</v>
      </c>
      <c r="H60" t="s">
        <v>11</v>
      </c>
    </row>
    <row r="61" spans="1:8">
      <c r="A61" t="s">
        <v>99</v>
      </c>
      <c r="B61" t="s">
        <v>94</v>
      </c>
      <c r="C61" t="s">
        <v>22</v>
      </c>
      <c r="D61">
        <v>2</v>
      </c>
      <c r="E61">
        <v>1053</v>
      </c>
      <c r="F61">
        <v>18</v>
      </c>
      <c r="G61">
        <v>5</v>
      </c>
      <c r="H61" t="s">
        <v>14</v>
      </c>
    </row>
    <row r="62" spans="1:8">
      <c r="A62" t="s">
        <v>100</v>
      </c>
      <c r="B62" t="s">
        <v>94</v>
      </c>
      <c r="C62" t="s">
        <v>10</v>
      </c>
      <c r="D62">
        <v>1</v>
      </c>
      <c r="E62">
        <v>1020</v>
      </c>
      <c r="F62">
        <v>21</v>
      </c>
      <c r="G62">
        <v>2</v>
      </c>
      <c r="H62" t="s">
        <v>11</v>
      </c>
    </row>
    <row r="63" spans="1:8">
      <c r="A63" t="s">
        <v>101</v>
      </c>
      <c r="B63" t="s">
        <v>94</v>
      </c>
      <c r="C63" t="s">
        <v>13</v>
      </c>
      <c r="D63">
        <v>1</v>
      </c>
      <c r="E63">
        <v>1157</v>
      </c>
      <c r="F63">
        <v>24</v>
      </c>
      <c r="G63">
        <v>3</v>
      </c>
      <c r="H63" t="s">
        <v>14</v>
      </c>
    </row>
    <row r="64" spans="1:8">
      <c r="A64" t="s">
        <v>102</v>
      </c>
      <c r="B64" t="s">
        <v>94</v>
      </c>
      <c r="C64" t="s">
        <v>16</v>
      </c>
      <c r="D64">
        <v>1</v>
      </c>
      <c r="E64">
        <v>1014</v>
      </c>
      <c r="F64">
        <v>27</v>
      </c>
      <c r="G64">
        <v>4</v>
      </c>
      <c r="H64" t="s">
        <v>11</v>
      </c>
    </row>
    <row r="65" spans="1:8">
      <c r="A65" t="s">
        <v>103</v>
      </c>
      <c r="B65" t="s">
        <v>94</v>
      </c>
      <c r="C65" t="s">
        <v>18</v>
      </c>
      <c r="D65">
        <v>1.5</v>
      </c>
      <c r="E65">
        <v>1401</v>
      </c>
      <c r="F65">
        <v>30</v>
      </c>
      <c r="G65">
        <v>5</v>
      </c>
      <c r="H65" t="s">
        <v>14</v>
      </c>
    </row>
    <row r="66" spans="1:8">
      <c r="A66" t="s">
        <v>104</v>
      </c>
      <c r="B66" t="s">
        <v>94</v>
      </c>
      <c r="C66" t="s">
        <v>20</v>
      </c>
      <c r="D66">
        <v>2</v>
      </c>
      <c r="E66">
        <v>778</v>
      </c>
      <c r="F66">
        <v>14</v>
      </c>
      <c r="G66">
        <v>2</v>
      </c>
      <c r="H66" t="s">
        <v>11</v>
      </c>
    </row>
    <row r="67" spans="1:8">
      <c r="A67" t="s">
        <v>105</v>
      </c>
      <c r="B67" t="s">
        <v>94</v>
      </c>
      <c r="C67" t="s">
        <v>22</v>
      </c>
      <c r="D67">
        <v>1</v>
      </c>
      <c r="E67">
        <v>1015</v>
      </c>
      <c r="F67">
        <v>17</v>
      </c>
      <c r="G67">
        <v>3</v>
      </c>
      <c r="H67" t="s">
        <v>14</v>
      </c>
    </row>
    <row r="68" spans="1:8">
      <c r="A68" t="s">
        <v>106</v>
      </c>
      <c r="B68" t="s">
        <v>94</v>
      </c>
      <c r="C68" t="s">
        <v>10</v>
      </c>
      <c r="D68">
        <v>1</v>
      </c>
      <c r="E68">
        <v>982</v>
      </c>
      <c r="F68">
        <v>20</v>
      </c>
      <c r="G68">
        <v>4</v>
      </c>
      <c r="H68" t="s">
        <v>11</v>
      </c>
    </row>
    <row r="69" spans="1:8">
      <c r="A69" t="s">
        <v>107</v>
      </c>
      <c r="B69" t="s">
        <v>94</v>
      </c>
      <c r="C69" t="s">
        <v>13</v>
      </c>
      <c r="D69">
        <v>1</v>
      </c>
      <c r="E69">
        <v>1119</v>
      </c>
      <c r="F69">
        <v>23</v>
      </c>
      <c r="G69">
        <v>5</v>
      </c>
      <c r="H69" t="s">
        <v>14</v>
      </c>
    </row>
    <row r="70" spans="1:8">
      <c r="A70" t="s">
        <v>108</v>
      </c>
      <c r="B70" t="s">
        <v>94</v>
      </c>
      <c r="C70" t="s">
        <v>16</v>
      </c>
      <c r="D70">
        <v>1.5</v>
      </c>
      <c r="E70">
        <v>976</v>
      </c>
      <c r="F70">
        <v>26</v>
      </c>
      <c r="G70">
        <v>2</v>
      </c>
      <c r="H70" t="s">
        <v>11</v>
      </c>
    </row>
    <row r="71" spans="1:8">
      <c r="A71" t="s">
        <v>109</v>
      </c>
      <c r="B71" t="s">
        <v>94</v>
      </c>
      <c r="C71" t="s">
        <v>18</v>
      </c>
      <c r="D71">
        <v>2</v>
      </c>
      <c r="E71">
        <v>1363</v>
      </c>
      <c r="F71">
        <v>29</v>
      </c>
      <c r="G71">
        <v>3</v>
      </c>
      <c r="H71" t="s">
        <v>14</v>
      </c>
    </row>
    <row r="72" spans="1:8">
      <c r="A72" t="s">
        <v>110</v>
      </c>
      <c r="B72" t="s">
        <v>94</v>
      </c>
      <c r="C72" t="s">
        <v>20</v>
      </c>
      <c r="D72">
        <v>1</v>
      </c>
      <c r="E72">
        <v>1000</v>
      </c>
      <c r="F72">
        <v>13</v>
      </c>
      <c r="G72">
        <v>4</v>
      </c>
      <c r="H72" t="s">
        <v>11</v>
      </c>
    </row>
    <row r="73" spans="1:8">
      <c r="A73" t="s">
        <v>111</v>
      </c>
      <c r="B73" t="s">
        <v>94</v>
      </c>
      <c r="C73" t="s">
        <v>22</v>
      </c>
      <c r="D73">
        <v>1</v>
      </c>
      <c r="E73">
        <v>977</v>
      </c>
      <c r="F73">
        <v>16</v>
      </c>
      <c r="G73">
        <v>5</v>
      </c>
      <c r="H73" t="s">
        <v>14</v>
      </c>
    </row>
    <row r="74" spans="1:8">
      <c r="A74" t="s">
        <v>112</v>
      </c>
      <c r="B74" t="s">
        <v>113</v>
      </c>
      <c r="C74" t="s">
        <v>10</v>
      </c>
      <c r="D74">
        <v>1</v>
      </c>
      <c r="E74">
        <v>944</v>
      </c>
      <c r="F74">
        <v>19</v>
      </c>
      <c r="G74">
        <v>2</v>
      </c>
      <c r="H74" t="s">
        <v>11</v>
      </c>
    </row>
    <row r="75" spans="1:8">
      <c r="A75" t="s">
        <v>114</v>
      </c>
      <c r="B75" t="s">
        <v>113</v>
      </c>
      <c r="C75" t="s">
        <v>13</v>
      </c>
      <c r="D75">
        <v>1.5</v>
      </c>
      <c r="E75">
        <v>1081</v>
      </c>
      <c r="F75">
        <v>22</v>
      </c>
      <c r="G75">
        <v>3</v>
      </c>
      <c r="H75" t="s">
        <v>14</v>
      </c>
    </row>
    <row r="76" spans="1:8">
      <c r="A76" t="s">
        <v>115</v>
      </c>
      <c r="B76" t="s">
        <v>113</v>
      </c>
      <c r="C76" t="s">
        <v>16</v>
      </c>
      <c r="D76">
        <v>2</v>
      </c>
      <c r="E76">
        <v>938</v>
      </c>
      <c r="F76">
        <v>25</v>
      </c>
      <c r="G76">
        <v>4</v>
      </c>
      <c r="H76" t="s">
        <v>11</v>
      </c>
    </row>
    <row r="77" spans="1:8">
      <c r="A77" t="s">
        <v>116</v>
      </c>
      <c r="B77" t="s">
        <v>113</v>
      </c>
      <c r="C77" t="s">
        <v>18</v>
      </c>
      <c r="D77">
        <v>1</v>
      </c>
      <c r="E77">
        <v>1325</v>
      </c>
      <c r="F77">
        <v>28</v>
      </c>
      <c r="G77">
        <v>5</v>
      </c>
      <c r="H77" t="s">
        <v>14</v>
      </c>
    </row>
    <row r="78" spans="1:8">
      <c r="A78" t="s">
        <v>117</v>
      </c>
      <c r="B78" t="s">
        <v>113</v>
      </c>
      <c r="C78" t="s">
        <v>20</v>
      </c>
      <c r="D78">
        <v>1</v>
      </c>
      <c r="E78">
        <v>962</v>
      </c>
      <c r="F78">
        <v>12</v>
      </c>
      <c r="G78">
        <v>2</v>
      </c>
      <c r="H78" t="s">
        <v>11</v>
      </c>
    </row>
    <row r="79" spans="1:8">
      <c r="A79" t="s">
        <v>118</v>
      </c>
      <c r="B79" t="s">
        <v>113</v>
      </c>
      <c r="C79" t="s">
        <v>22</v>
      </c>
      <c r="D79">
        <v>1</v>
      </c>
      <c r="E79">
        <v>1199</v>
      </c>
      <c r="F79">
        <v>15</v>
      </c>
      <c r="G79">
        <v>3</v>
      </c>
      <c r="H79" t="s">
        <v>14</v>
      </c>
    </row>
    <row r="80" spans="1:8">
      <c r="A80" t="s">
        <v>119</v>
      </c>
      <c r="B80" t="s">
        <v>113</v>
      </c>
      <c r="C80" t="s">
        <v>10</v>
      </c>
      <c r="D80">
        <v>1.5</v>
      </c>
      <c r="E80">
        <v>906</v>
      </c>
      <c r="F80">
        <v>18</v>
      </c>
      <c r="G80">
        <v>4</v>
      </c>
      <c r="H80" t="s">
        <v>11</v>
      </c>
    </row>
    <row r="81" spans="1:8">
      <c r="A81" t="s">
        <v>120</v>
      </c>
      <c r="B81" t="s">
        <v>113</v>
      </c>
      <c r="C81" t="s">
        <v>13</v>
      </c>
      <c r="D81">
        <v>2</v>
      </c>
      <c r="E81">
        <v>1043</v>
      </c>
      <c r="F81">
        <v>21</v>
      </c>
      <c r="G81">
        <v>5</v>
      </c>
      <c r="H81" t="s">
        <v>14</v>
      </c>
    </row>
    <row r="82" spans="1:8">
      <c r="A82" t="s">
        <v>121</v>
      </c>
      <c r="B82" t="s">
        <v>113</v>
      </c>
      <c r="C82" t="s">
        <v>16</v>
      </c>
      <c r="D82">
        <v>1</v>
      </c>
      <c r="E82">
        <v>900</v>
      </c>
      <c r="F82">
        <v>24</v>
      </c>
      <c r="G82">
        <v>2</v>
      </c>
      <c r="H82" t="s">
        <v>11</v>
      </c>
    </row>
    <row r="83" spans="1:8">
      <c r="A83" t="s">
        <v>122</v>
      </c>
      <c r="B83" t="s">
        <v>113</v>
      </c>
      <c r="C83" t="s">
        <v>18</v>
      </c>
      <c r="D83">
        <v>1</v>
      </c>
      <c r="E83">
        <v>1287</v>
      </c>
      <c r="F83">
        <v>27</v>
      </c>
      <c r="G83">
        <v>3</v>
      </c>
      <c r="H83" t="s">
        <v>14</v>
      </c>
    </row>
    <row r="84" spans="1:8">
      <c r="A84" t="s">
        <v>123</v>
      </c>
      <c r="B84" t="s">
        <v>113</v>
      </c>
      <c r="C84" t="s">
        <v>20</v>
      </c>
      <c r="D84">
        <v>1</v>
      </c>
      <c r="E84">
        <v>924</v>
      </c>
      <c r="F84">
        <v>30</v>
      </c>
      <c r="G84">
        <v>4</v>
      </c>
      <c r="H84" t="s">
        <v>11</v>
      </c>
    </row>
    <row r="85" spans="1:8">
      <c r="A85" t="s">
        <v>124</v>
      </c>
      <c r="B85" t="s">
        <v>113</v>
      </c>
      <c r="C85" t="s">
        <v>22</v>
      </c>
      <c r="D85">
        <v>1.5</v>
      </c>
      <c r="E85">
        <v>1161</v>
      </c>
      <c r="F85">
        <v>14</v>
      </c>
      <c r="G85">
        <v>5</v>
      </c>
      <c r="H85" t="s">
        <v>14</v>
      </c>
    </row>
    <row r="86" spans="1:8">
      <c r="A86" t="s">
        <v>125</v>
      </c>
      <c r="B86" t="s">
        <v>113</v>
      </c>
      <c r="C86" t="s">
        <v>10</v>
      </c>
      <c r="D86">
        <v>2</v>
      </c>
      <c r="E86">
        <v>1128</v>
      </c>
      <c r="F86">
        <v>17</v>
      </c>
      <c r="G86">
        <v>2</v>
      </c>
      <c r="H86" t="s">
        <v>11</v>
      </c>
    </row>
    <row r="87" spans="1:8">
      <c r="A87" t="s">
        <v>126</v>
      </c>
      <c r="B87" t="s">
        <v>113</v>
      </c>
      <c r="C87" t="s">
        <v>13</v>
      </c>
      <c r="D87">
        <v>1</v>
      </c>
      <c r="E87">
        <v>1005</v>
      </c>
      <c r="F87">
        <v>20</v>
      </c>
      <c r="G87">
        <v>3</v>
      </c>
      <c r="H87" t="s">
        <v>14</v>
      </c>
    </row>
    <row r="88" spans="1:8">
      <c r="A88" t="s">
        <v>127</v>
      </c>
      <c r="B88" t="s">
        <v>113</v>
      </c>
      <c r="C88" t="s">
        <v>16</v>
      </c>
      <c r="D88">
        <v>1</v>
      </c>
      <c r="E88">
        <v>862</v>
      </c>
      <c r="F88">
        <v>23</v>
      </c>
      <c r="G88">
        <v>4</v>
      </c>
      <c r="H88" t="s">
        <v>11</v>
      </c>
    </row>
    <row r="89" spans="1:8">
      <c r="A89" t="s">
        <v>128</v>
      </c>
      <c r="B89" t="s">
        <v>113</v>
      </c>
      <c r="C89" t="s">
        <v>18</v>
      </c>
      <c r="D89">
        <v>1</v>
      </c>
      <c r="E89">
        <v>1249</v>
      </c>
      <c r="F89">
        <v>26</v>
      </c>
      <c r="G89">
        <v>5</v>
      </c>
      <c r="H89" t="s">
        <v>14</v>
      </c>
    </row>
    <row r="90" spans="1:8">
      <c r="A90" t="s">
        <v>129</v>
      </c>
      <c r="B90" t="s">
        <v>113</v>
      </c>
      <c r="C90" t="s">
        <v>20</v>
      </c>
      <c r="D90">
        <v>1.5</v>
      </c>
      <c r="E90">
        <v>886</v>
      </c>
      <c r="F90">
        <v>29</v>
      </c>
      <c r="G90">
        <v>2</v>
      </c>
      <c r="H90" t="s">
        <v>11</v>
      </c>
    </row>
    <row r="91" spans="1:8">
      <c r="A91" t="s">
        <v>130</v>
      </c>
      <c r="B91" t="s">
        <v>113</v>
      </c>
      <c r="C91" t="s">
        <v>22</v>
      </c>
      <c r="D91">
        <v>2</v>
      </c>
      <c r="E91">
        <v>1123</v>
      </c>
      <c r="F91">
        <v>13</v>
      </c>
      <c r="G91">
        <v>3</v>
      </c>
      <c r="H91" t="s">
        <v>14</v>
      </c>
    </row>
    <row r="92" spans="1:8">
      <c r="A92" t="s">
        <v>131</v>
      </c>
      <c r="B92" t="s">
        <v>132</v>
      </c>
      <c r="C92" t="s">
        <v>10</v>
      </c>
      <c r="D92">
        <v>1</v>
      </c>
      <c r="E92">
        <v>1090</v>
      </c>
      <c r="F92">
        <v>16</v>
      </c>
      <c r="G92">
        <v>4</v>
      </c>
      <c r="H92" t="s">
        <v>11</v>
      </c>
    </row>
    <row r="93" spans="1:8">
      <c r="A93" t="s">
        <v>133</v>
      </c>
      <c r="B93" t="s">
        <v>132</v>
      </c>
      <c r="C93" t="s">
        <v>13</v>
      </c>
      <c r="D93">
        <v>1</v>
      </c>
      <c r="E93">
        <v>1227</v>
      </c>
      <c r="F93">
        <v>19</v>
      </c>
      <c r="G93">
        <v>5</v>
      </c>
      <c r="H93" t="s">
        <v>14</v>
      </c>
    </row>
    <row r="94" spans="1:8">
      <c r="A94" t="s">
        <v>134</v>
      </c>
      <c r="B94" t="s">
        <v>132</v>
      </c>
      <c r="C94" t="s">
        <v>16</v>
      </c>
      <c r="D94">
        <v>1</v>
      </c>
      <c r="E94">
        <v>824</v>
      </c>
      <c r="F94">
        <v>22</v>
      </c>
      <c r="G94">
        <v>2</v>
      </c>
      <c r="H94" t="s">
        <v>11</v>
      </c>
    </row>
    <row r="95" spans="1:8">
      <c r="A95" t="s">
        <v>135</v>
      </c>
      <c r="B95" t="s">
        <v>132</v>
      </c>
      <c r="C95" t="s">
        <v>18</v>
      </c>
      <c r="D95">
        <v>1.5</v>
      </c>
      <c r="E95">
        <v>1211</v>
      </c>
      <c r="F95">
        <v>25</v>
      </c>
      <c r="G95">
        <v>3</v>
      </c>
      <c r="H95" t="s">
        <v>14</v>
      </c>
    </row>
    <row r="96" spans="1:8">
      <c r="A96" t="s">
        <v>136</v>
      </c>
      <c r="B96" t="s">
        <v>132</v>
      </c>
      <c r="C96" t="s">
        <v>20</v>
      </c>
      <c r="D96">
        <v>2</v>
      </c>
      <c r="E96">
        <v>848</v>
      </c>
      <c r="F96">
        <v>28</v>
      </c>
      <c r="G96">
        <v>4</v>
      </c>
      <c r="H96" t="s">
        <v>11</v>
      </c>
    </row>
    <row r="97" spans="1:8">
      <c r="A97" t="s">
        <v>137</v>
      </c>
      <c r="B97" t="s">
        <v>132</v>
      </c>
      <c r="C97" t="s">
        <v>22</v>
      </c>
      <c r="D97">
        <v>1</v>
      </c>
      <c r="E97">
        <v>1085</v>
      </c>
      <c r="F97">
        <v>12</v>
      </c>
      <c r="G97">
        <v>5</v>
      </c>
      <c r="H97" t="s">
        <v>14</v>
      </c>
    </row>
    <row r="98" spans="1:8">
      <c r="A98" t="s">
        <v>138</v>
      </c>
      <c r="B98" t="s">
        <v>132</v>
      </c>
      <c r="C98" t="s">
        <v>10</v>
      </c>
      <c r="D98">
        <v>1</v>
      </c>
      <c r="E98">
        <v>1052</v>
      </c>
      <c r="F98">
        <v>15</v>
      </c>
      <c r="G98">
        <v>2</v>
      </c>
      <c r="H98" t="s">
        <v>11</v>
      </c>
    </row>
    <row r="99" spans="1:8">
      <c r="A99" t="s">
        <v>139</v>
      </c>
      <c r="B99" t="s">
        <v>132</v>
      </c>
      <c r="C99" t="s">
        <v>13</v>
      </c>
      <c r="D99">
        <v>1</v>
      </c>
      <c r="E99">
        <v>1189</v>
      </c>
      <c r="F99">
        <v>18</v>
      </c>
      <c r="G99">
        <v>3</v>
      </c>
      <c r="H99" t="s">
        <v>14</v>
      </c>
    </row>
    <row r="100" spans="1:8">
      <c r="A100" t="s">
        <v>140</v>
      </c>
      <c r="B100" t="s">
        <v>132</v>
      </c>
      <c r="C100" t="s">
        <v>16</v>
      </c>
      <c r="D100">
        <v>1.5</v>
      </c>
      <c r="E100">
        <v>1046</v>
      </c>
      <c r="F100">
        <v>21</v>
      </c>
      <c r="G100">
        <v>4</v>
      </c>
      <c r="H100" t="s">
        <v>11</v>
      </c>
    </row>
    <row r="101" spans="1:8">
      <c r="A101" t="s">
        <v>141</v>
      </c>
      <c r="B101" t="s">
        <v>132</v>
      </c>
      <c r="C101" t="s">
        <v>18</v>
      </c>
      <c r="D101">
        <v>2</v>
      </c>
      <c r="E101">
        <v>1173</v>
      </c>
      <c r="F101">
        <v>24</v>
      </c>
      <c r="G101">
        <v>5</v>
      </c>
      <c r="H101" t="s">
        <v>14</v>
      </c>
    </row>
    <row r="102" spans="1:8">
      <c r="A102" t="s">
        <v>142</v>
      </c>
      <c r="B102" t="s">
        <v>132</v>
      </c>
      <c r="C102" t="s">
        <v>20</v>
      </c>
      <c r="D102">
        <v>1</v>
      </c>
      <c r="E102">
        <v>810</v>
      </c>
      <c r="F102">
        <v>27</v>
      </c>
      <c r="G102">
        <v>2</v>
      </c>
      <c r="H102" t="s">
        <v>11</v>
      </c>
    </row>
    <row r="103" spans="1:8">
      <c r="A103" t="s">
        <v>143</v>
      </c>
      <c r="B103" t="s">
        <v>132</v>
      </c>
      <c r="C103" t="s">
        <v>22</v>
      </c>
      <c r="D103">
        <v>1</v>
      </c>
      <c r="E103">
        <v>1047</v>
      </c>
      <c r="F103">
        <v>30</v>
      </c>
      <c r="G103">
        <v>3</v>
      </c>
      <c r="H103" t="s">
        <v>14</v>
      </c>
    </row>
    <row r="104" spans="1:8">
      <c r="A104" t="s">
        <v>144</v>
      </c>
      <c r="B104" t="s">
        <v>132</v>
      </c>
      <c r="C104" t="s">
        <v>10</v>
      </c>
      <c r="D104">
        <v>1</v>
      </c>
      <c r="E104">
        <v>1014</v>
      </c>
      <c r="F104">
        <v>14</v>
      </c>
      <c r="G104">
        <v>4</v>
      </c>
      <c r="H104" t="s">
        <v>11</v>
      </c>
    </row>
    <row r="105" spans="1:8">
      <c r="A105" t="s">
        <v>145</v>
      </c>
      <c r="B105" t="s">
        <v>132</v>
      </c>
      <c r="C105" t="s">
        <v>13</v>
      </c>
      <c r="D105">
        <v>1.5</v>
      </c>
      <c r="E105">
        <v>1151</v>
      </c>
      <c r="F105">
        <v>17</v>
      </c>
      <c r="G105">
        <v>5</v>
      </c>
      <c r="H105" t="s">
        <v>14</v>
      </c>
    </row>
    <row r="106" spans="1:8">
      <c r="A106" t="s">
        <v>146</v>
      </c>
      <c r="B106" t="s">
        <v>132</v>
      </c>
      <c r="C106" t="s">
        <v>16</v>
      </c>
      <c r="D106">
        <v>2</v>
      </c>
      <c r="E106">
        <v>1008</v>
      </c>
      <c r="F106">
        <v>20</v>
      </c>
      <c r="G106">
        <v>2</v>
      </c>
      <c r="H106" t="s">
        <v>11</v>
      </c>
    </row>
    <row r="107" spans="1:8">
      <c r="A107" t="s">
        <v>147</v>
      </c>
      <c r="B107" t="s">
        <v>132</v>
      </c>
      <c r="C107" t="s">
        <v>18</v>
      </c>
      <c r="D107">
        <v>1</v>
      </c>
      <c r="E107">
        <v>1395</v>
      </c>
      <c r="F107">
        <v>23</v>
      </c>
      <c r="G107">
        <v>3</v>
      </c>
      <c r="H107" t="s">
        <v>14</v>
      </c>
    </row>
    <row r="108" spans="1:8">
      <c r="A108" t="s">
        <v>148</v>
      </c>
      <c r="B108" t="s">
        <v>132</v>
      </c>
      <c r="C108" t="s">
        <v>20</v>
      </c>
      <c r="D108">
        <v>1</v>
      </c>
      <c r="E108">
        <v>772</v>
      </c>
      <c r="F108">
        <v>26</v>
      </c>
      <c r="G108">
        <v>4</v>
      </c>
      <c r="H108" t="s">
        <v>11</v>
      </c>
    </row>
    <row r="109" spans="1:8">
      <c r="A109" t="s">
        <v>149</v>
      </c>
      <c r="B109" t="s">
        <v>132</v>
      </c>
      <c r="C109" t="s">
        <v>22</v>
      </c>
      <c r="D109">
        <v>1</v>
      </c>
      <c r="E109">
        <v>1009</v>
      </c>
      <c r="F109">
        <v>29</v>
      </c>
      <c r="G109">
        <v>5</v>
      </c>
      <c r="H109" t="s">
        <v>14</v>
      </c>
    </row>
    <row r="110" spans="1:8">
      <c r="A110" t="s">
        <v>150</v>
      </c>
      <c r="B110" t="s">
        <v>151</v>
      </c>
      <c r="C110" t="s">
        <v>10</v>
      </c>
      <c r="D110">
        <v>1.5</v>
      </c>
      <c r="E110">
        <v>976</v>
      </c>
      <c r="F110">
        <v>13</v>
      </c>
      <c r="G110">
        <v>2</v>
      </c>
      <c r="H110" t="s">
        <v>11</v>
      </c>
    </row>
    <row r="111" spans="1:8">
      <c r="A111" t="s">
        <v>152</v>
      </c>
      <c r="B111" t="s">
        <v>151</v>
      </c>
      <c r="C111" t="s">
        <v>13</v>
      </c>
      <c r="D111">
        <v>2</v>
      </c>
      <c r="E111">
        <v>1113</v>
      </c>
      <c r="F111">
        <v>16</v>
      </c>
      <c r="G111">
        <v>3</v>
      </c>
      <c r="H111" t="s">
        <v>14</v>
      </c>
    </row>
    <row r="112" spans="1:8">
      <c r="A112" t="s">
        <v>153</v>
      </c>
      <c r="B112" t="s">
        <v>151</v>
      </c>
      <c r="C112" t="s">
        <v>16</v>
      </c>
      <c r="D112">
        <v>1</v>
      </c>
      <c r="E112">
        <v>970</v>
      </c>
      <c r="F112">
        <v>19</v>
      </c>
      <c r="G112">
        <v>4</v>
      </c>
      <c r="H112" t="s">
        <v>11</v>
      </c>
    </row>
    <row r="113" spans="1:8">
      <c r="A113" t="s">
        <v>154</v>
      </c>
      <c r="B113" t="s">
        <v>151</v>
      </c>
      <c r="C113" t="s">
        <v>18</v>
      </c>
      <c r="D113">
        <v>1</v>
      </c>
      <c r="E113">
        <v>1357</v>
      </c>
      <c r="F113">
        <v>22</v>
      </c>
      <c r="G113">
        <v>5</v>
      </c>
      <c r="H113" t="s">
        <v>14</v>
      </c>
    </row>
    <row r="114" spans="1:8">
      <c r="A114" t="s">
        <v>155</v>
      </c>
      <c r="B114" t="s">
        <v>151</v>
      </c>
      <c r="C114" t="s">
        <v>20</v>
      </c>
      <c r="D114">
        <v>1</v>
      </c>
      <c r="E114">
        <v>994</v>
      </c>
      <c r="F114">
        <v>25</v>
      </c>
      <c r="G114">
        <v>2</v>
      </c>
      <c r="H114" t="s">
        <v>11</v>
      </c>
    </row>
    <row r="115" spans="1:8">
      <c r="A115" t="s">
        <v>156</v>
      </c>
      <c r="B115" t="s">
        <v>151</v>
      </c>
      <c r="C115" t="s">
        <v>22</v>
      </c>
      <c r="D115">
        <v>1.5</v>
      </c>
      <c r="E115">
        <v>971</v>
      </c>
      <c r="F115">
        <v>28</v>
      </c>
      <c r="G115">
        <v>3</v>
      </c>
      <c r="H115" t="s">
        <v>14</v>
      </c>
    </row>
    <row r="116" spans="1:8">
      <c r="A116" t="s">
        <v>157</v>
      </c>
      <c r="B116" t="s">
        <v>151</v>
      </c>
      <c r="C116" t="s">
        <v>10</v>
      </c>
      <c r="D116">
        <v>2</v>
      </c>
      <c r="E116">
        <v>938</v>
      </c>
      <c r="F116">
        <v>12</v>
      </c>
      <c r="G116">
        <v>4</v>
      </c>
      <c r="H116" t="s">
        <v>11</v>
      </c>
    </row>
    <row r="117" spans="1:8">
      <c r="A117" t="s">
        <v>158</v>
      </c>
      <c r="B117" t="s">
        <v>151</v>
      </c>
      <c r="C117" t="s">
        <v>13</v>
      </c>
      <c r="D117">
        <v>1</v>
      </c>
      <c r="E117">
        <v>1075</v>
      </c>
      <c r="F117">
        <v>15</v>
      </c>
      <c r="G117">
        <v>5</v>
      </c>
      <c r="H117" t="s">
        <v>14</v>
      </c>
    </row>
    <row r="118" spans="1:8">
      <c r="A118" t="s">
        <v>159</v>
      </c>
      <c r="B118" t="s">
        <v>151</v>
      </c>
      <c r="C118" t="s">
        <v>16</v>
      </c>
      <c r="D118">
        <v>1</v>
      </c>
      <c r="E118">
        <v>932</v>
      </c>
      <c r="F118">
        <v>18</v>
      </c>
      <c r="G118">
        <v>2</v>
      </c>
      <c r="H118" t="s">
        <v>11</v>
      </c>
    </row>
    <row r="119" spans="1:8">
      <c r="A119" t="s">
        <v>160</v>
      </c>
      <c r="B119" t="s">
        <v>151</v>
      </c>
      <c r="C119" t="s">
        <v>18</v>
      </c>
      <c r="D119">
        <v>1</v>
      </c>
      <c r="E119">
        <v>1319</v>
      </c>
      <c r="F119">
        <v>21</v>
      </c>
      <c r="G119">
        <v>3</v>
      </c>
      <c r="H119" t="s">
        <v>14</v>
      </c>
    </row>
    <row r="120" spans="1:8">
      <c r="A120" t="s">
        <v>161</v>
      </c>
      <c r="B120" t="s">
        <v>151</v>
      </c>
      <c r="C120" t="s">
        <v>20</v>
      </c>
      <c r="D120">
        <v>1.5</v>
      </c>
      <c r="E120">
        <v>956</v>
      </c>
      <c r="F120">
        <v>24</v>
      </c>
      <c r="G120">
        <v>4</v>
      </c>
      <c r="H120" t="s">
        <v>11</v>
      </c>
    </row>
    <row r="121" spans="1:8">
      <c r="A121" t="s">
        <v>162</v>
      </c>
      <c r="B121" t="s">
        <v>151</v>
      </c>
      <c r="C121" t="s">
        <v>22</v>
      </c>
      <c r="D121">
        <v>2</v>
      </c>
      <c r="E121">
        <v>1193</v>
      </c>
      <c r="F121">
        <v>27</v>
      </c>
      <c r="G121">
        <v>5</v>
      </c>
      <c r="H121" t="s">
        <v>14</v>
      </c>
    </row>
    <row r="122" spans="1:8">
      <c r="A122" t="s">
        <v>163</v>
      </c>
      <c r="B122" t="s">
        <v>151</v>
      </c>
      <c r="C122" t="s">
        <v>10</v>
      </c>
      <c r="D122">
        <v>1</v>
      </c>
      <c r="E122">
        <v>900</v>
      </c>
      <c r="F122">
        <v>30</v>
      </c>
      <c r="G122">
        <v>2</v>
      </c>
      <c r="H122" t="s">
        <v>11</v>
      </c>
    </row>
    <row r="123" spans="1:8">
      <c r="A123" t="s">
        <v>164</v>
      </c>
      <c r="B123" t="s">
        <v>151</v>
      </c>
      <c r="C123" t="s">
        <v>13</v>
      </c>
      <c r="D123">
        <v>1</v>
      </c>
      <c r="E123">
        <v>1037</v>
      </c>
      <c r="F123">
        <v>14</v>
      </c>
      <c r="G123">
        <v>3</v>
      </c>
      <c r="H123" t="s">
        <v>14</v>
      </c>
    </row>
    <row r="124" spans="1:8">
      <c r="A124" t="s">
        <v>165</v>
      </c>
      <c r="B124" t="s">
        <v>151</v>
      </c>
      <c r="C124" t="s">
        <v>16</v>
      </c>
      <c r="D124">
        <v>1</v>
      </c>
      <c r="E124">
        <v>894</v>
      </c>
      <c r="F124">
        <v>17</v>
      </c>
      <c r="G124">
        <v>4</v>
      </c>
      <c r="H124" t="s">
        <v>11</v>
      </c>
    </row>
    <row r="125" spans="1:8">
      <c r="A125" t="s">
        <v>166</v>
      </c>
      <c r="B125" t="s">
        <v>151</v>
      </c>
      <c r="C125" t="s">
        <v>18</v>
      </c>
      <c r="D125">
        <v>1.5</v>
      </c>
      <c r="E125">
        <v>1281</v>
      </c>
      <c r="F125">
        <v>20</v>
      </c>
      <c r="G125">
        <v>5</v>
      </c>
      <c r="H125" t="s">
        <v>14</v>
      </c>
    </row>
    <row r="126" spans="1:8">
      <c r="A126" t="s">
        <v>167</v>
      </c>
      <c r="B126" t="s">
        <v>151</v>
      </c>
      <c r="C126" t="s">
        <v>20</v>
      </c>
      <c r="D126">
        <v>2</v>
      </c>
      <c r="E126">
        <v>918</v>
      </c>
      <c r="F126">
        <v>23</v>
      </c>
      <c r="G126">
        <v>2</v>
      </c>
      <c r="H126" t="s">
        <v>11</v>
      </c>
    </row>
    <row r="127" spans="1:8">
      <c r="A127" t="s">
        <v>168</v>
      </c>
      <c r="B127" t="s">
        <v>151</v>
      </c>
      <c r="C127" t="s">
        <v>22</v>
      </c>
      <c r="D127">
        <v>1</v>
      </c>
      <c r="E127">
        <v>1155</v>
      </c>
      <c r="F127">
        <v>26</v>
      </c>
      <c r="G127">
        <v>3</v>
      </c>
      <c r="H127" t="s">
        <v>14</v>
      </c>
    </row>
    <row r="128" spans="1:8">
      <c r="A128" t="s">
        <v>169</v>
      </c>
      <c r="B128" t="s">
        <v>170</v>
      </c>
      <c r="C128" t="s">
        <v>10</v>
      </c>
      <c r="D128">
        <v>1</v>
      </c>
      <c r="E128">
        <v>1122</v>
      </c>
      <c r="F128">
        <v>29</v>
      </c>
      <c r="G128">
        <v>4</v>
      </c>
      <c r="H128" t="s">
        <v>11</v>
      </c>
    </row>
    <row r="129" spans="1:8">
      <c r="A129" t="s">
        <v>171</v>
      </c>
      <c r="B129" t="s">
        <v>170</v>
      </c>
      <c r="C129" t="s">
        <v>13</v>
      </c>
      <c r="D129">
        <v>1</v>
      </c>
      <c r="E129">
        <v>999</v>
      </c>
      <c r="F129">
        <v>13</v>
      </c>
      <c r="G129">
        <v>5</v>
      </c>
      <c r="H129" t="s">
        <v>14</v>
      </c>
    </row>
    <row r="130" spans="1:8">
      <c r="A130" t="s">
        <v>172</v>
      </c>
      <c r="B130" t="s">
        <v>170</v>
      </c>
      <c r="C130" t="s">
        <v>16</v>
      </c>
      <c r="D130">
        <v>1.5</v>
      </c>
      <c r="E130">
        <v>856</v>
      </c>
      <c r="F130">
        <v>16</v>
      </c>
      <c r="G130">
        <v>2</v>
      </c>
      <c r="H130" t="s">
        <v>11</v>
      </c>
    </row>
    <row r="131" spans="1:8">
      <c r="A131" t="s">
        <v>173</v>
      </c>
      <c r="B131" t="s">
        <v>170</v>
      </c>
      <c r="C131" t="s">
        <v>18</v>
      </c>
      <c r="D131">
        <v>2</v>
      </c>
      <c r="E131">
        <v>1243</v>
      </c>
      <c r="F131">
        <v>19</v>
      </c>
      <c r="G131">
        <v>3</v>
      </c>
      <c r="H131" t="s">
        <v>14</v>
      </c>
    </row>
    <row r="132" spans="1:8">
      <c r="A132" t="s">
        <v>174</v>
      </c>
      <c r="B132" t="s">
        <v>170</v>
      </c>
      <c r="C132" t="s">
        <v>20</v>
      </c>
      <c r="D132">
        <v>1</v>
      </c>
      <c r="E132">
        <v>880</v>
      </c>
      <c r="F132">
        <v>22</v>
      </c>
      <c r="G132">
        <v>4</v>
      </c>
      <c r="H132" t="s">
        <v>11</v>
      </c>
    </row>
    <row r="133" spans="1:8">
      <c r="A133" t="s">
        <v>175</v>
      </c>
      <c r="B133" t="s">
        <v>170</v>
      </c>
      <c r="C133" t="s">
        <v>22</v>
      </c>
      <c r="D133">
        <v>1</v>
      </c>
      <c r="E133">
        <v>1117</v>
      </c>
      <c r="F133">
        <v>25</v>
      </c>
      <c r="G133">
        <v>5</v>
      </c>
      <c r="H133" t="s">
        <v>14</v>
      </c>
    </row>
    <row r="134" spans="1:8">
      <c r="A134" t="s">
        <v>176</v>
      </c>
      <c r="B134" t="s">
        <v>170</v>
      </c>
      <c r="C134" t="s">
        <v>10</v>
      </c>
      <c r="D134">
        <v>1</v>
      </c>
      <c r="E134">
        <v>1084</v>
      </c>
      <c r="F134">
        <v>28</v>
      </c>
      <c r="G134">
        <v>2</v>
      </c>
      <c r="H134" t="s">
        <v>11</v>
      </c>
    </row>
    <row r="135" spans="1:8">
      <c r="A135" t="s">
        <v>177</v>
      </c>
      <c r="B135" t="s">
        <v>170</v>
      </c>
      <c r="C135" t="s">
        <v>13</v>
      </c>
      <c r="D135">
        <v>1.5</v>
      </c>
      <c r="E135">
        <v>1221</v>
      </c>
      <c r="F135">
        <v>12</v>
      </c>
      <c r="G135">
        <v>3</v>
      </c>
      <c r="H135" t="s">
        <v>14</v>
      </c>
    </row>
    <row r="136" spans="1:8">
      <c r="A136" t="s">
        <v>178</v>
      </c>
      <c r="B136" t="s">
        <v>170</v>
      </c>
      <c r="C136" t="s">
        <v>16</v>
      </c>
      <c r="D136">
        <v>2</v>
      </c>
      <c r="E136">
        <v>818</v>
      </c>
      <c r="F136">
        <v>15</v>
      </c>
      <c r="G136">
        <v>4</v>
      </c>
      <c r="H136" t="s">
        <v>11</v>
      </c>
    </row>
    <row r="137" spans="1:8">
      <c r="A137" t="s">
        <v>179</v>
      </c>
      <c r="B137" t="s">
        <v>170</v>
      </c>
      <c r="C137" t="s">
        <v>18</v>
      </c>
      <c r="D137">
        <v>1</v>
      </c>
      <c r="E137">
        <v>1205</v>
      </c>
      <c r="F137">
        <v>18</v>
      </c>
      <c r="G137">
        <v>5</v>
      </c>
      <c r="H137" t="s">
        <v>14</v>
      </c>
    </row>
    <row r="138" spans="1:8">
      <c r="A138" t="s">
        <v>180</v>
      </c>
      <c r="B138" t="s">
        <v>170</v>
      </c>
      <c r="C138" t="s">
        <v>20</v>
      </c>
      <c r="D138">
        <v>1</v>
      </c>
      <c r="E138">
        <v>842</v>
      </c>
      <c r="F138">
        <v>21</v>
      </c>
      <c r="G138">
        <v>2</v>
      </c>
      <c r="H138" t="s">
        <v>11</v>
      </c>
    </row>
    <row r="139" spans="1:8">
      <c r="A139" t="s">
        <v>181</v>
      </c>
      <c r="B139" t="s">
        <v>170</v>
      </c>
      <c r="C139" t="s">
        <v>22</v>
      </c>
      <c r="D139">
        <v>1</v>
      </c>
      <c r="E139">
        <v>1079</v>
      </c>
      <c r="F139">
        <v>24</v>
      </c>
      <c r="G139">
        <v>3</v>
      </c>
      <c r="H139" t="s">
        <v>14</v>
      </c>
    </row>
    <row r="140" spans="1:8">
      <c r="A140" t="s">
        <v>182</v>
      </c>
      <c r="B140" t="s">
        <v>170</v>
      </c>
      <c r="C140" t="s">
        <v>10</v>
      </c>
      <c r="D140">
        <v>1.5</v>
      </c>
      <c r="E140">
        <v>1046</v>
      </c>
      <c r="F140">
        <v>27</v>
      </c>
      <c r="G140">
        <v>4</v>
      </c>
      <c r="H140" t="s">
        <v>11</v>
      </c>
    </row>
    <row r="141" spans="1:8">
      <c r="A141" t="s">
        <v>183</v>
      </c>
      <c r="B141" t="s">
        <v>170</v>
      </c>
      <c r="C141" t="s">
        <v>13</v>
      </c>
      <c r="D141">
        <v>2</v>
      </c>
      <c r="E141">
        <v>1183</v>
      </c>
      <c r="F141">
        <v>30</v>
      </c>
      <c r="G141">
        <v>5</v>
      </c>
      <c r="H141" t="s">
        <v>14</v>
      </c>
    </row>
    <row r="142" spans="1:8">
      <c r="A142" t="s">
        <v>184</v>
      </c>
      <c r="B142" t="s">
        <v>170</v>
      </c>
      <c r="C142" t="s">
        <v>16</v>
      </c>
      <c r="D142">
        <v>1</v>
      </c>
      <c r="E142">
        <v>1040</v>
      </c>
      <c r="F142">
        <v>14</v>
      </c>
      <c r="G142">
        <v>2</v>
      </c>
      <c r="H142" t="s">
        <v>11</v>
      </c>
    </row>
    <row r="143" spans="1:8">
      <c r="A143" t="s">
        <v>185</v>
      </c>
      <c r="B143" t="s">
        <v>170</v>
      </c>
      <c r="C143" t="s">
        <v>18</v>
      </c>
      <c r="D143">
        <v>1</v>
      </c>
      <c r="E143">
        <v>1167</v>
      </c>
      <c r="F143">
        <v>17</v>
      </c>
      <c r="G143">
        <v>3</v>
      </c>
      <c r="H143" t="s">
        <v>14</v>
      </c>
    </row>
    <row r="144" spans="1:8">
      <c r="A144" t="s">
        <v>186</v>
      </c>
      <c r="B144" t="s">
        <v>170</v>
      </c>
      <c r="C144" t="s">
        <v>20</v>
      </c>
      <c r="D144">
        <v>1</v>
      </c>
      <c r="E144">
        <v>804</v>
      </c>
      <c r="F144">
        <v>20</v>
      </c>
      <c r="G144">
        <v>4</v>
      </c>
      <c r="H144" t="s">
        <v>11</v>
      </c>
    </row>
    <row r="145" spans="1:8">
      <c r="A145" t="s">
        <v>187</v>
      </c>
      <c r="B145" t="s">
        <v>170</v>
      </c>
      <c r="C145" t="s">
        <v>22</v>
      </c>
      <c r="D145">
        <v>1.5</v>
      </c>
      <c r="E145">
        <v>1041</v>
      </c>
      <c r="F145">
        <v>23</v>
      </c>
      <c r="G145">
        <v>5</v>
      </c>
      <c r="H145" t="s">
        <v>14</v>
      </c>
    </row>
    <row r="146" spans="1:8">
      <c r="A146" t="s">
        <v>68</v>
      </c>
      <c r="B146" t="s">
        <v>69</v>
      </c>
      <c r="C146" t="s">
        <v>10</v>
      </c>
      <c r="D146">
        <v>1</v>
      </c>
      <c r="E146">
        <v>912</v>
      </c>
      <c r="F146">
        <v>25</v>
      </c>
      <c r="G146">
        <v>2</v>
      </c>
      <c r="H146" t="s">
        <v>11</v>
      </c>
    </row>
    <row r="147" spans="1:8">
      <c r="A147" t="s">
        <v>70</v>
      </c>
      <c r="B147" t="s">
        <v>69</v>
      </c>
      <c r="C147" t="s">
        <v>13</v>
      </c>
      <c r="D147">
        <v>1</v>
      </c>
      <c r="E147">
        <v>1049</v>
      </c>
      <c r="F147">
        <v>28</v>
      </c>
      <c r="G147">
        <v>3</v>
      </c>
      <c r="H147" t="s">
        <v>14</v>
      </c>
    </row>
    <row r="148" spans="1:8">
      <c r="A148" t="s">
        <v>71</v>
      </c>
      <c r="B148" t="s">
        <v>69</v>
      </c>
      <c r="C148" t="s">
        <v>16</v>
      </c>
      <c r="D148">
        <v>1.5</v>
      </c>
      <c r="E148">
        <v>906</v>
      </c>
      <c r="F148">
        <v>12</v>
      </c>
      <c r="G148">
        <v>4</v>
      </c>
      <c r="H148" t="s">
        <v>11</v>
      </c>
    </row>
    <row r="149" spans="1:8">
      <c r="A149" t="s">
        <v>72</v>
      </c>
      <c r="B149" t="s">
        <v>69</v>
      </c>
      <c r="C149" t="s">
        <v>18</v>
      </c>
      <c r="D149">
        <v>2</v>
      </c>
      <c r="E149">
        <v>1293</v>
      </c>
      <c r="F149">
        <v>15</v>
      </c>
      <c r="G149">
        <v>5</v>
      </c>
      <c r="H149" t="s">
        <v>14</v>
      </c>
    </row>
    <row r="150" spans="1:8">
      <c r="A150" t="s">
        <v>73</v>
      </c>
      <c r="B150" t="s">
        <v>69</v>
      </c>
      <c r="C150" t="s">
        <v>20</v>
      </c>
      <c r="D150">
        <v>1</v>
      </c>
      <c r="E150">
        <v>930</v>
      </c>
      <c r="F150">
        <v>18</v>
      </c>
      <c r="G150">
        <v>2</v>
      </c>
      <c r="H150" t="s">
        <v>11</v>
      </c>
    </row>
    <row r="151" spans="1:8">
      <c r="A151" t="s">
        <v>74</v>
      </c>
      <c r="B151" t="s">
        <v>69</v>
      </c>
      <c r="C151" t="s">
        <v>22</v>
      </c>
      <c r="D151">
        <v>1</v>
      </c>
      <c r="E151">
        <v>1167</v>
      </c>
      <c r="F151">
        <v>21</v>
      </c>
      <c r="G151">
        <v>3</v>
      </c>
      <c r="H15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953B-1698-4C8C-A2B1-72D70418D0F9}">
  <dimension ref="A1:H145"/>
  <sheetViews>
    <sheetView topLeftCell="A29" workbookViewId="0">
      <selection activeCell="G29" sqref="G29"/>
    </sheetView>
  </sheetViews>
  <sheetFormatPr baseColWidth="10" defaultRowHeight="14"/>
  <cols>
    <col min="1" max="1" width="11.33203125" bestFit="1" customWidth="1"/>
    <col min="2" max="2" width="9.75" bestFit="1" customWidth="1"/>
    <col min="3" max="3" width="9.6640625" bestFit="1" customWidth="1"/>
    <col min="4" max="4" width="9.08203125" bestFit="1" customWidth="1"/>
    <col min="5" max="5" width="18.4140625" bestFit="1" customWidth="1"/>
    <col min="6" max="6" width="16.5" bestFit="1" customWidth="1"/>
    <col min="7" max="7" width="13.83203125" bestFit="1" customWidth="1"/>
    <col min="8" max="8" width="9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s="3">
        <v>46280</v>
      </c>
      <c r="C2" s="2" t="s">
        <v>10</v>
      </c>
      <c r="D2">
        <v>1</v>
      </c>
      <c r="E2" s="2">
        <v>880</v>
      </c>
      <c r="F2">
        <v>12</v>
      </c>
      <c r="G2">
        <v>2</v>
      </c>
      <c r="H2" s="2" t="s">
        <v>11</v>
      </c>
    </row>
    <row r="3" spans="1:8">
      <c r="A3" s="2" t="s">
        <v>12</v>
      </c>
      <c r="B3" s="3">
        <v>46280</v>
      </c>
      <c r="C3" s="2" t="s">
        <v>13</v>
      </c>
      <c r="D3">
        <v>1</v>
      </c>
      <c r="E3" s="2">
        <v>1017</v>
      </c>
      <c r="F3">
        <v>15</v>
      </c>
      <c r="G3">
        <v>3</v>
      </c>
      <c r="H3" s="2" t="s">
        <v>14</v>
      </c>
    </row>
    <row r="4" spans="1:8">
      <c r="A4" s="2" t="s">
        <v>15</v>
      </c>
      <c r="B4" s="3">
        <v>46280</v>
      </c>
      <c r="C4" s="2" t="s">
        <v>16</v>
      </c>
      <c r="D4">
        <v>1</v>
      </c>
      <c r="E4" s="2">
        <v>874</v>
      </c>
      <c r="F4">
        <v>18</v>
      </c>
      <c r="G4">
        <v>4</v>
      </c>
      <c r="H4" s="2" t="s">
        <v>11</v>
      </c>
    </row>
    <row r="5" spans="1:8">
      <c r="A5" s="2" t="s">
        <v>17</v>
      </c>
      <c r="B5" s="3">
        <v>46280</v>
      </c>
      <c r="C5" s="2" t="s">
        <v>18</v>
      </c>
      <c r="D5">
        <v>1.5</v>
      </c>
      <c r="E5" s="2">
        <v>1261</v>
      </c>
      <c r="F5">
        <v>21</v>
      </c>
      <c r="G5">
        <v>5</v>
      </c>
      <c r="H5" s="2" t="s">
        <v>14</v>
      </c>
    </row>
    <row r="6" spans="1:8">
      <c r="A6" s="2" t="s">
        <v>19</v>
      </c>
      <c r="B6" s="3">
        <v>46280</v>
      </c>
      <c r="C6" s="2" t="s">
        <v>20</v>
      </c>
      <c r="D6">
        <v>2</v>
      </c>
      <c r="E6" s="2">
        <v>898</v>
      </c>
      <c r="F6">
        <v>24</v>
      </c>
      <c r="G6">
        <v>2</v>
      </c>
      <c r="H6" s="2" t="s">
        <v>11</v>
      </c>
    </row>
    <row r="7" spans="1:8">
      <c r="A7" s="2" t="s">
        <v>21</v>
      </c>
      <c r="B7" s="3">
        <v>46280</v>
      </c>
      <c r="C7" s="2" t="s">
        <v>22</v>
      </c>
      <c r="D7">
        <v>1</v>
      </c>
      <c r="E7" s="2">
        <v>1135</v>
      </c>
      <c r="F7">
        <v>27</v>
      </c>
      <c r="G7">
        <v>3</v>
      </c>
      <c r="H7" s="2" t="s">
        <v>14</v>
      </c>
    </row>
    <row r="8" spans="1:8">
      <c r="A8" s="2" t="s">
        <v>23</v>
      </c>
      <c r="B8" s="3">
        <v>46280</v>
      </c>
      <c r="C8" s="2" t="s">
        <v>10</v>
      </c>
      <c r="D8">
        <v>1</v>
      </c>
      <c r="E8" s="2">
        <v>1102</v>
      </c>
      <c r="F8">
        <v>30</v>
      </c>
      <c r="G8">
        <v>4</v>
      </c>
      <c r="H8" s="2" t="s">
        <v>11</v>
      </c>
    </row>
    <row r="9" spans="1:8">
      <c r="A9" s="2" t="s">
        <v>24</v>
      </c>
      <c r="B9" s="3">
        <v>46280</v>
      </c>
      <c r="C9" s="2" t="s">
        <v>13</v>
      </c>
      <c r="D9">
        <v>1</v>
      </c>
      <c r="E9" s="2">
        <v>1239</v>
      </c>
      <c r="F9">
        <v>14</v>
      </c>
      <c r="G9">
        <v>5</v>
      </c>
      <c r="H9" s="2" t="s">
        <v>14</v>
      </c>
    </row>
    <row r="10" spans="1:8">
      <c r="A10" s="2" t="s">
        <v>25</v>
      </c>
      <c r="B10" s="3">
        <v>46280</v>
      </c>
      <c r="C10" s="2" t="s">
        <v>16</v>
      </c>
      <c r="D10">
        <v>1.5</v>
      </c>
      <c r="E10" s="2">
        <v>836</v>
      </c>
      <c r="F10">
        <v>17</v>
      </c>
      <c r="G10">
        <v>2</v>
      </c>
      <c r="H10" s="2" t="s">
        <v>11</v>
      </c>
    </row>
    <row r="11" spans="1:8">
      <c r="A11" s="2" t="s">
        <v>26</v>
      </c>
      <c r="B11" s="3">
        <v>46280</v>
      </c>
      <c r="C11" s="2" t="s">
        <v>18</v>
      </c>
      <c r="D11">
        <v>2</v>
      </c>
      <c r="E11" s="2">
        <v>1223</v>
      </c>
      <c r="F11">
        <v>20</v>
      </c>
      <c r="G11">
        <v>3</v>
      </c>
      <c r="H11" s="2" t="s">
        <v>14</v>
      </c>
    </row>
    <row r="12" spans="1:8">
      <c r="A12" s="2" t="s">
        <v>27</v>
      </c>
      <c r="B12" s="3">
        <v>46280</v>
      </c>
      <c r="C12" s="2" t="s">
        <v>20</v>
      </c>
      <c r="D12">
        <v>1</v>
      </c>
      <c r="E12" s="2">
        <v>860</v>
      </c>
      <c r="F12">
        <v>23</v>
      </c>
      <c r="G12">
        <v>4</v>
      </c>
      <c r="H12" s="2" t="s">
        <v>11</v>
      </c>
    </row>
    <row r="13" spans="1:8">
      <c r="A13" s="2" t="s">
        <v>28</v>
      </c>
      <c r="B13" s="3">
        <v>46280</v>
      </c>
      <c r="C13" s="2" t="s">
        <v>22</v>
      </c>
      <c r="D13">
        <v>1</v>
      </c>
      <c r="E13" s="2">
        <v>1097</v>
      </c>
      <c r="F13">
        <v>26</v>
      </c>
      <c r="G13">
        <v>5</v>
      </c>
      <c r="H13" s="2" t="s">
        <v>14</v>
      </c>
    </row>
    <row r="14" spans="1:8">
      <c r="A14" s="2" t="s">
        <v>29</v>
      </c>
      <c r="B14" s="3">
        <v>46280</v>
      </c>
      <c r="C14" s="2" t="s">
        <v>10</v>
      </c>
      <c r="D14">
        <v>1</v>
      </c>
      <c r="E14" s="2">
        <v>1064</v>
      </c>
      <c r="F14">
        <v>29</v>
      </c>
      <c r="G14">
        <v>2</v>
      </c>
      <c r="H14" s="2" t="s">
        <v>11</v>
      </c>
    </row>
    <row r="15" spans="1:8">
      <c r="A15" s="2" t="s">
        <v>31</v>
      </c>
      <c r="B15" s="3">
        <v>46280</v>
      </c>
      <c r="C15" s="2" t="s">
        <v>13</v>
      </c>
      <c r="D15">
        <v>1.5</v>
      </c>
      <c r="E15" s="2">
        <v>1201</v>
      </c>
      <c r="F15">
        <v>13</v>
      </c>
      <c r="G15">
        <v>3</v>
      </c>
      <c r="H15" s="2" t="s">
        <v>14</v>
      </c>
    </row>
    <row r="16" spans="1:8">
      <c r="A16" s="2" t="s">
        <v>33</v>
      </c>
      <c r="B16" s="3">
        <v>46280</v>
      </c>
      <c r="C16" s="2" t="s">
        <v>16</v>
      </c>
      <c r="D16">
        <v>2</v>
      </c>
      <c r="E16" s="2">
        <v>1058</v>
      </c>
      <c r="F16">
        <v>16</v>
      </c>
      <c r="G16">
        <v>4</v>
      </c>
      <c r="H16" s="2" t="s">
        <v>11</v>
      </c>
    </row>
    <row r="17" spans="1:8">
      <c r="A17" s="2" t="s">
        <v>35</v>
      </c>
      <c r="B17" s="3">
        <v>46280</v>
      </c>
      <c r="C17" s="2" t="s">
        <v>18</v>
      </c>
      <c r="D17">
        <v>1</v>
      </c>
      <c r="E17" s="2">
        <v>1185</v>
      </c>
      <c r="F17">
        <v>19</v>
      </c>
      <c r="G17">
        <v>5</v>
      </c>
      <c r="H17" s="2" t="s">
        <v>14</v>
      </c>
    </row>
    <row r="18" spans="1:8">
      <c r="A18" s="2" t="s">
        <v>37</v>
      </c>
      <c r="B18" s="3">
        <v>46280</v>
      </c>
      <c r="C18" s="2" t="s">
        <v>20</v>
      </c>
      <c r="D18">
        <v>1</v>
      </c>
      <c r="E18" s="2">
        <v>822</v>
      </c>
      <c r="F18">
        <v>22</v>
      </c>
      <c r="G18">
        <v>2</v>
      </c>
      <c r="H18" s="2" t="s">
        <v>11</v>
      </c>
    </row>
    <row r="19" spans="1:8">
      <c r="A19" s="2" t="s">
        <v>39</v>
      </c>
      <c r="B19" s="3">
        <v>46280</v>
      </c>
      <c r="C19" s="2" t="s">
        <v>22</v>
      </c>
      <c r="D19">
        <v>1</v>
      </c>
      <c r="E19" s="2">
        <v>1059</v>
      </c>
      <c r="F19">
        <v>25</v>
      </c>
      <c r="G19">
        <v>3</v>
      </c>
      <c r="H19" s="2" t="s">
        <v>14</v>
      </c>
    </row>
    <row r="20" spans="1:8">
      <c r="A20" s="2" t="s">
        <v>41</v>
      </c>
      <c r="B20" s="3">
        <v>46281</v>
      </c>
      <c r="C20" s="2" t="s">
        <v>10</v>
      </c>
      <c r="D20">
        <v>1.5</v>
      </c>
      <c r="E20" s="2">
        <v>1026</v>
      </c>
      <c r="F20">
        <v>28</v>
      </c>
      <c r="G20">
        <v>4</v>
      </c>
      <c r="H20" s="2" t="s">
        <v>11</v>
      </c>
    </row>
    <row r="21" spans="1:8">
      <c r="A21" s="2" t="s">
        <v>43</v>
      </c>
      <c r="B21" s="3">
        <v>46281</v>
      </c>
      <c r="C21" s="2" t="s">
        <v>13</v>
      </c>
      <c r="D21">
        <v>2</v>
      </c>
      <c r="E21" s="2">
        <v>1163</v>
      </c>
      <c r="F21">
        <v>12</v>
      </c>
      <c r="G21">
        <v>5</v>
      </c>
      <c r="H21" s="2" t="s">
        <v>14</v>
      </c>
    </row>
    <row r="22" spans="1:8">
      <c r="A22" s="2" t="s">
        <v>44</v>
      </c>
      <c r="B22" s="3">
        <v>46281</v>
      </c>
      <c r="C22" s="2" t="s">
        <v>16</v>
      </c>
      <c r="D22">
        <v>1</v>
      </c>
      <c r="E22" s="2">
        <v>1020</v>
      </c>
      <c r="F22">
        <v>15</v>
      </c>
      <c r="G22">
        <v>2</v>
      </c>
      <c r="H22" s="2" t="s">
        <v>11</v>
      </c>
    </row>
    <row r="23" spans="1:8">
      <c r="A23" s="2" t="s">
        <v>45</v>
      </c>
      <c r="B23" s="3">
        <v>46281</v>
      </c>
      <c r="C23" s="2" t="s">
        <v>18</v>
      </c>
      <c r="D23">
        <v>1</v>
      </c>
      <c r="E23" s="2">
        <v>1407</v>
      </c>
      <c r="F23">
        <v>18</v>
      </c>
      <c r="G23">
        <v>3</v>
      </c>
      <c r="H23" s="2" t="s">
        <v>14</v>
      </c>
    </row>
    <row r="24" spans="1:8">
      <c r="A24" s="2" t="s">
        <v>46</v>
      </c>
      <c r="B24" s="3">
        <v>46281</v>
      </c>
      <c r="C24" s="2" t="s">
        <v>20</v>
      </c>
      <c r="D24">
        <v>1</v>
      </c>
      <c r="E24" s="2">
        <v>784</v>
      </c>
      <c r="F24">
        <v>21</v>
      </c>
      <c r="G24">
        <v>4</v>
      </c>
      <c r="H24" s="2" t="s">
        <v>11</v>
      </c>
    </row>
    <row r="25" spans="1:8">
      <c r="A25" s="2" t="s">
        <v>48</v>
      </c>
      <c r="B25" s="3">
        <v>46281</v>
      </c>
      <c r="C25" s="2" t="s">
        <v>22</v>
      </c>
      <c r="D25">
        <v>1.5</v>
      </c>
      <c r="E25" s="2">
        <v>1021</v>
      </c>
      <c r="F25">
        <v>24</v>
      </c>
      <c r="G25">
        <v>5</v>
      </c>
      <c r="H25" s="2" t="s">
        <v>14</v>
      </c>
    </row>
    <row r="26" spans="1:8">
      <c r="A26" s="2" t="s">
        <v>50</v>
      </c>
      <c r="B26" s="3">
        <v>46282</v>
      </c>
      <c r="C26" s="2" t="s">
        <v>10</v>
      </c>
      <c r="D26">
        <v>2</v>
      </c>
      <c r="E26" s="2">
        <v>988</v>
      </c>
      <c r="F26">
        <v>27</v>
      </c>
      <c r="G26">
        <v>2</v>
      </c>
      <c r="H26" s="2" t="s">
        <v>11</v>
      </c>
    </row>
    <row r="27" spans="1:8">
      <c r="A27" s="2" t="s">
        <v>52</v>
      </c>
      <c r="B27" s="3">
        <v>46282</v>
      </c>
      <c r="C27" s="2" t="s">
        <v>13</v>
      </c>
      <c r="D27">
        <v>1</v>
      </c>
      <c r="E27" s="2">
        <v>1125</v>
      </c>
      <c r="F27">
        <v>30</v>
      </c>
      <c r="G27">
        <v>3</v>
      </c>
      <c r="H27" s="2" t="s">
        <v>14</v>
      </c>
    </row>
    <row r="28" spans="1:8">
      <c r="A28" s="2" t="s">
        <v>54</v>
      </c>
      <c r="B28" s="3">
        <v>46281</v>
      </c>
      <c r="C28" s="2" t="s">
        <v>16</v>
      </c>
      <c r="D28">
        <v>1</v>
      </c>
      <c r="E28" s="2">
        <v>950</v>
      </c>
      <c r="F28">
        <v>14</v>
      </c>
      <c r="G28">
        <v>4</v>
      </c>
      <c r="H28" s="2" t="s">
        <v>11</v>
      </c>
    </row>
    <row r="29" spans="1:8">
      <c r="A29" s="2" t="s">
        <v>56</v>
      </c>
      <c r="B29" s="3">
        <v>46281</v>
      </c>
      <c r="C29" s="2" t="s">
        <v>18</v>
      </c>
      <c r="D29">
        <v>1</v>
      </c>
      <c r="E29" s="2">
        <v>1020</v>
      </c>
      <c r="F29">
        <v>17</v>
      </c>
      <c r="G29">
        <v>5</v>
      </c>
      <c r="H29" s="2" t="s">
        <v>14</v>
      </c>
    </row>
    <row r="30" spans="1:8">
      <c r="A30" s="2" t="s">
        <v>58</v>
      </c>
      <c r="B30" s="3">
        <v>46281</v>
      </c>
      <c r="C30" s="2" t="s">
        <v>20</v>
      </c>
      <c r="D30">
        <v>1.5</v>
      </c>
      <c r="E30" s="2">
        <v>995</v>
      </c>
      <c r="F30">
        <v>20</v>
      </c>
      <c r="G30">
        <v>2</v>
      </c>
      <c r="H30" s="2" t="s">
        <v>11</v>
      </c>
    </row>
    <row r="31" spans="1:8">
      <c r="A31" s="2" t="s">
        <v>60</v>
      </c>
      <c r="B31" s="3">
        <v>46281</v>
      </c>
      <c r="C31" s="2" t="s">
        <v>22</v>
      </c>
      <c r="D31">
        <v>2</v>
      </c>
      <c r="E31" s="2">
        <v>1075.5</v>
      </c>
      <c r="F31">
        <v>23</v>
      </c>
      <c r="G31">
        <v>3</v>
      </c>
      <c r="H31" s="2" t="s">
        <v>14</v>
      </c>
    </row>
    <row r="32" spans="1:8">
      <c r="A32" s="2" t="s">
        <v>62</v>
      </c>
      <c r="B32" s="3">
        <v>46281</v>
      </c>
      <c r="C32" s="2" t="s">
        <v>10</v>
      </c>
      <c r="D32">
        <v>1</v>
      </c>
      <c r="E32" s="2">
        <v>950</v>
      </c>
      <c r="G32">
        <v>4</v>
      </c>
      <c r="H32" s="2" t="s">
        <v>11</v>
      </c>
    </row>
    <row r="33" spans="1:8">
      <c r="A33" s="2" t="s">
        <v>63</v>
      </c>
      <c r="B33" s="3">
        <v>46281</v>
      </c>
      <c r="C33" s="2" t="s">
        <v>13</v>
      </c>
      <c r="D33">
        <v>1</v>
      </c>
      <c r="E33" s="2">
        <v>1087</v>
      </c>
      <c r="G33">
        <v>5</v>
      </c>
      <c r="H33" s="2" t="s">
        <v>14</v>
      </c>
    </row>
    <row r="34" spans="1:8">
      <c r="A34" s="2" t="s">
        <v>64</v>
      </c>
      <c r="B34" s="3">
        <v>46281</v>
      </c>
      <c r="C34" s="2" t="s">
        <v>16</v>
      </c>
      <c r="D34">
        <v>1</v>
      </c>
      <c r="E34" s="2">
        <v>944</v>
      </c>
      <c r="G34">
        <v>2</v>
      </c>
      <c r="H34" s="2" t="s">
        <v>11</v>
      </c>
    </row>
    <row r="35" spans="1:8">
      <c r="A35" s="2" t="s">
        <v>65</v>
      </c>
      <c r="B35" s="3">
        <v>46281</v>
      </c>
      <c r="C35" s="2" t="s">
        <v>18</v>
      </c>
      <c r="D35">
        <v>1.5</v>
      </c>
      <c r="E35" s="2" t="s">
        <v>190</v>
      </c>
      <c r="F35">
        <v>16</v>
      </c>
      <c r="G35">
        <v>3</v>
      </c>
      <c r="H35" s="2" t="s">
        <v>14</v>
      </c>
    </row>
    <row r="36" spans="1:8">
      <c r="A36" s="2" t="s">
        <v>66</v>
      </c>
      <c r="B36" s="3">
        <v>46281</v>
      </c>
      <c r="C36" s="2" t="s">
        <v>20</v>
      </c>
      <c r="D36">
        <v>2</v>
      </c>
      <c r="E36" s="2" t="s">
        <v>190</v>
      </c>
      <c r="F36">
        <v>19</v>
      </c>
      <c r="G36">
        <v>4</v>
      </c>
      <c r="H36" s="2" t="s">
        <v>11</v>
      </c>
    </row>
    <row r="37" spans="1:8">
      <c r="A37" s="2" t="s">
        <v>67</v>
      </c>
      <c r="B37" s="3">
        <v>46281</v>
      </c>
      <c r="C37" s="2" t="s">
        <v>22</v>
      </c>
      <c r="D37">
        <v>1</v>
      </c>
      <c r="E37" s="2" t="s">
        <v>190</v>
      </c>
      <c r="F37">
        <v>22</v>
      </c>
      <c r="G37">
        <v>5</v>
      </c>
      <c r="H37" s="2" t="s">
        <v>14</v>
      </c>
    </row>
    <row r="38" spans="1:8">
      <c r="A38" s="2" t="s">
        <v>68</v>
      </c>
      <c r="B38" s="3">
        <v>46282</v>
      </c>
      <c r="C38" s="2" t="s">
        <v>10</v>
      </c>
      <c r="D38">
        <v>1</v>
      </c>
      <c r="E38" s="2">
        <v>912</v>
      </c>
      <c r="F38">
        <v>25</v>
      </c>
      <c r="G38">
        <v>2</v>
      </c>
      <c r="H38" s="2" t="s">
        <v>11</v>
      </c>
    </row>
    <row r="39" spans="1:8">
      <c r="A39" s="2" t="s">
        <v>70</v>
      </c>
      <c r="B39" s="3">
        <v>46282</v>
      </c>
      <c r="C39" s="2" t="s">
        <v>13</v>
      </c>
      <c r="D39">
        <v>1</v>
      </c>
      <c r="E39" s="2">
        <v>1049</v>
      </c>
      <c r="F39">
        <v>28</v>
      </c>
      <c r="G39">
        <v>3</v>
      </c>
      <c r="H39" s="2" t="s">
        <v>14</v>
      </c>
    </row>
    <row r="40" spans="1:8">
      <c r="A40" s="2" t="s">
        <v>71</v>
      </c>
      <c r="B40" s="3">
        <v>46282</v>
      </c>
      <c r="C40" s="2" t="s">
        <v>16</v>
      </c>
      <c r="D40">
        <v>1.5</v>
      </c>
      <c r="E40" s="2">
        <v>906</v>
      </c>
      <c r="F40">
        <v>12</v>
      </c>
      <c r="G40">
        <v>4</v>
      </c>
      <c r="H40" s="2" t="s">
        <v>11</v>
      </c>
    </row>
    <row r="41" spans="1:8">
      <c r="A41" s="2" t="s">
        <v>72</v>
      </c>
      <c r="B41" s="3">
        <v>46282</v>
      </c>
      <c r="C41" s="2" t="s">
        <v>18</v>
      </c>
      <c r="D41">
        <v>2</v>
      </c>
      <c r="E41" s="2">
        <v>1293</v>
      </c>
      <c r="F41">
        <v>15</v>
      </c>
      <c r="G41">
        <v>5</v>
      </c>
      <c r="H41" s="2" t="s">
        <v>14</v>
      </c>
    </row>
    <row r="42" spans="1:8">
      <c r="A42" s="2" t="s">
        <v>73</v>
      </c>
      <c r="B42" s="3">
        <v>46282</v>
      </c>
      <c r="C42" s="2" t="s">
        <v>20</v>
      </c>
      <c r="D42">
        <v>1</v>
      </c>
      <c r="E42" s="2">
        <v>930</v>
      </c>
      <c r="F42">
        <v>18</v>
      </c>
      <c r="G42">
        <v>2</v>
      </c>
      <c r="H42" s="2" t="s">
        <v>11</v>
      </c>
    </row>
    <row r="43" spans="1:8">
      <c r="A43" s="2" t="s">
        <v>74</v>
      </c>
      <c r="B43" s="3">
        <v>46282</v>
      </c>
      <c r="C43" s="2" t="s">
        <v>22</v>
      </c>
      <c r="D43">
        <v>1</v>
      </c>
      <c r="E43" s="2">
        <v>1167</v>
      </c>
      <c r="F43">
        <v>21</v>
      </c>
      <c r="G43">
        <v>3</v>
      </c>
      <c r="H43" s="2" t="s">
        <v>14</v>
      </c>
    </row>
    <row r="44" spans="1:8">
      <c r="A44" s="2" t="s">
        <v>75</v>
      </c>
      <c r="B44" s="3">
        <v>46282</v>
      </c>
      <c r="C44" s="2" t="s">
        <v>10</v>
      </c>
      <c r="D44">
        <v>1</v>
      </c>
      <c r="E44" s="2">
        <v>1134</v>
      </c>
      <c r="F44">
        <v>24</v>
      </c>
      <c r="G44">
        <v>4</v>
      </c>
      <c r="H44" s="2" t="s">
        <v>11</v>
      </c>
    </row>
    <row r="45" spans="1:8">
      <c r="A45" s="2" t="s">
        <v>77</v>
      </c>
      <c r="B45" s="3">
        <v>46282</v>
      </c>
      <c r="C45" s="2" t="s">
        <v>13</v>
      </c>
      <c r="D45">
        <v>1.5</v>
      </c>
      <c r="E45" s="2">
        <v>1011</v>
      </c>
      <c r="F45">
        <v>27</v>
      </c>
      <c r="G45">
        <v>5</v>
      </c>
      <c r="H45" s="2" t="s">
        <v>14</v>
      </c>
    </row>
    <row r="46" spans="1:8">
      <c r="A46" s="2" t="s">
        <v>79</v>
      </c>
      <c r="B46" s="3">
        <v>46282</v>
      </c>
      <c r="C46" s="2" t="s">
        <v>16</v>
      </c>
      <c r="D46">
        <v>2</v>
      </c>
      <c r="E46" s="2">
        <v>868</v>
      </c>
      <c r="F46">
        <v>30</v>
      </c>
      <c r="G46">
        <v>2</v>
      </c>
      <c r="H46" s="2" t="s">
        <v>11</v>
      </c>
    </row>
    <row r="47" spans="1:8">
      <c r="A47" s="2" t="s">
        <v>80</v>
      </c>
      <c r="B47" s="3">
        <v>46282</v>
      </c>
      <c r="C47" s="2" t="s">
        <v>18</v>
      </c>
      <c r="D47">
        <v>1</v>
      </c>
      <c r="E47" s="2">
        <v>1255</v>
      </c>
      <c r="F47">
        <v>14</v>
      </c>
      <c r="G47">
        <v>3</v>
      </c>
      <c r="H47" s="2" t="s">
        <v>14</v>
      </c>
    </row>
    <row r="48" spans="1:8">
      <c r="A48" s="2" t="s">
        <v>81</v>
      </c>
      <c r="B48" s="3">
        <v>46282</v>
      </c>
      <c r="C48" s="2" t="s">
        <v>20</v>
      </c>
      <c r="D48">
        <v>1</v>
      </c>
      <c r="E48" s="2">
        <v>892</v>
      </c>
      <c r="F48">
        <v>17</v>
      </c>
      <c r="G48">
        <v>4</v>
      </c>
      <c r="H48" s="2" t="s">
        <v>11</v>
      </c>
    </row>
    <row r="49" spans="1:8">
      <c r="A49" s="2" t="s">
        <v>83</v>
      </c>
      <c r="B49" s="3">
        <v>46282</v>
      </c>
      <c r="C49" s="2" t="s">
        <v>22</v>
      </c>
      <c r="D49">
        <v>1.5</v>
      </c>
      <c r="E49" s="2">
        <v>1129</v>
      </c>
      <c r="F49">
        <v>20</v>
      </c>
      <c r="G49">
        <v>5</v>
      </c>
      <c r="H49" s="2" t="s">
        <v>14</v>
      </c>
    </row>
    <row r="50" spans="1:8">
      <c r="A50" s="2" t="s">
        <v>85</v>
      </c>
      <c r="B50" s="3">
        <v>46282</v>
      </c>
      <c r="C50" s="2" t="s">
        <v>10</v>
      </c>
      <c r="D50">
        <v>1.5</v>
      </c>
      <c r="E50" s="2">
        <v>1096</v>
      </c>
      <c r="F50">
        <v>23</v>
      </c>
      <c r="G50">
        <v>2</v>
      </c>
      <c r="H50" s="2" t="s">
        <v>11</v>
      </c>
    </row>
    <row r="51" spans="1:8">
      <c r="A51" s="2" t="s">
        <v>86</v>
      </c>
      <c r="B51" s="3">
        <v>46282</v>
      </c>
      <c r="C51" s="2" t="s">
        <v>20</v>
      </c>
      <c r="D51">
        <v>2</v>
      </c>
      <c r="E51" s="2">
        <v>1233</v>
      </c>
      <c r="F51">
        <v>26</v>
      </c>
      <c r="G51">
        <v>3</v>
      </c>
      <c r="H51" s="2" t="s">
        <v>14</v>
      </c>
    </row>
    <row r="52" spans="1:8">
      <c r="A52" s="2" t="s">
        <v>87</v>
      </c>
      <c r="B52" s="3">
        <v>46282</v>
      </c>
      <c r="C52" s="2" t="s">
        <v>16</v>
      </c>
      <c r="D52">
        <v>1</v>
      </c>
      <c r="E52" s="2">
        <v>830</v>
      </c>
      <c r="F52">
        <v>29</v>
      </c>
      <c r="G52">
        <v>4</v>
      </c>
      <c r="H52" s="2" t="s">
        <v>11</v>
      </c>
    </row>
    <row r="53" spans="1:8">
      <c r="A53" s="2" t="s">
        <v>89</v>
      </c>
      <c r="B53" s="3">
        <v>46282</v>
      </c>
      <c r="C53" s="2" t="s">
        <v>18</v>
      </c>
      <c r="D53">
        <v>1</v>
      </c>
      <c r="E53" s="2">
        <v>1217</v>
      </c>
      <c r="F53">
        <v>13</v>
      </c>
      <c r="G53">
        <v>5</v>
      </c>
      <c r="H53" s="2" t="s">
        <v>14</v>
      </c>
    </row>
    <row r="54" spans="1:8">
      <c r="A54" s="2" t="s">
        <v>91</v>
      </c>
      <c r="B54" s="3">
        <v>46282</v>
      </c>
      <c r="C54" s="2" t="s">
        <v>20</v>
      </c>
      <c r="D54">
        <v>1</v>
      </c>
      <c r="E54" s="2">
        <v>854</v>
      </c>
      <c r="F54">
        <v>16</v>
      </c>
      <c r="G54">
        <v>2</v>
      </c>
      <c r="H54" s="2" t="s">
        <v>11</v>
      </c>
    </row>
    <row r="55" spans="1:8">
      <c r="A55" s="2" t="s">
        <v>92</v>
      </c>
      <c r="B55" s="3">
        <v>46282</v>
      </c>
      <c r="C55" s="2" t="s">
        <v>22</v>
      </c>
      <c r="D55">
        <v>1.5</v>
      </c>
      <c r="E55" s="2">
        <v>1091</v>
      </c>
      <c r="F55">
        <v>19</v>
      </c>
      <c r="G55">
        <v>3</v>
      </c>
      <c r="H55" s="2" t="s">
        <v>14</v>
      </c>
    </row>
    <row r="56" spans="1:8">
      <c r="A56" s="2" t="s">
        <v>93</v>
      </c>
      <c r="B56" s="3">
        <v>46283</v>
      </c>
      <c r="C56" s="2" t="s">
        <v>10</v>
      </c>
      <c r="D56">
        <v>2</v>
      </c>
      <c r="E56" s="2">
        <v>1058</v>
      </c>
      <c r="F56">
        <v>22</v>
      </c>
      <c r="G56">
        <v>4</v>
      </c>
      <c r="H56" s="2" t="s">
        <v>11</v>
      </c>
    </row>
    <row r="57" spans="1:8">
      <c r="A57" s="2" t="s">
        <v>95</v>
      </c>
      <c r="B57" s="3">
        <v>46283</v>
      </c>
      <c r="C57" s="2" t="s">
        <v>13</v>
      </c>
      <c r="D57">
        <v>1</v>
      </c>
      <c r="E57" s="2">
        <v>1195</v>
      </c>
      <c r="F57">
        <v>25</v>
      </c>
      <c r="G57">
        <v>5</v>
      </c>
      <c r="H57" s="2" t="s">
        <v>14</v>
      </c>
    </row>
    <row r="58" spans="1:8">
      <c r="A58" s="2" t="s">
        <v>96</v>
      </c>
      <c r="B58" s="3">
        <v>46283</v>
      </c>
      <c r="C58" s="2" t="s">
        <v>16</v>
      </c>
      <c r="D58">
        <v>1</v>
      </c>
      <c r="E58" s="2">
        <v>1052</v>
      </c>
      <c r="F58">
        <v>28</v>
      </c>
      <c r="G58">
        <v>2</v>
      </c>
      <c r="H58" s="2" t="s">
        <v>11</v>
      </c>
    </row>
    <row r="59" spans="1:8">
      <c r="A59" s="2" t="s">
        <v>97</v>
      </c>
      <c r="B59" s="3">
        <v>46283</v>
      </c>
      <c r="C59" s="2" t="s">
        <v>18</v>
      </c>
      <c r="D59">
        <v>1</v>
      </c>
      <c r="E59" s="2">
        <v>1179</v>
      </c>
      <c r="F59">
        <v>12</v>
      </c>
      <c r="G59">
        <v>3</v>
      </c>
      <c r="H59" s="2" t="s">
        <v>14</v>
      </c>
    </row>
    <row r="60" spans="1:8">
      <c r="A60" s="2" t="s">
        <v>98</v>
      </c>
      <c r="B60" s="3">
        <v>46283</v>
      </c>
      <c r="C60" s="2" t="s">
        <v>20</v>
      </c>
      <c r="D60">
        <v>1.5</v>
      </c>
      <c r="E60" s="2">
        <v>816</v>
      </c>
      <c r="F60">
        <v>15</v>
      </c>
      <c r="G60">
        <v>4</v>
      </c>
      <c r="H60" s="2" t="s">
        <v>11</v>
      </c>
    </row>
    <row r="61" spans="1:8">
      <c r="A61" s="2" t="s">
        <v>99</v>
      </c>
      <c r="B61" s="3">
        <v>46283</v>
      </c>
      <c r="C61" s="2" t="s">
        <v>22</v>
      </c>
      <c r="D61">
        <v>2</v>
      </c>
      <c r="E61" s="2">
        <v>1053</v>
      </c>
      <c r="F61">
        <v>18</v>
      </c>
      <c r="G61">
        <v>5</v>
      </c>
      <c r="H61" s="2" t="s">
        <v>14</v>
      </c>
    </row>
    <row r="62" spans="1:8">
      <c r="A62" s="2" t="s">
        <v>100</v>
      </c>
      <c r="B62" s="3">
        <v>46283</v>
      </c>
      <c r="C62" s="2" t="s">
        <v>10</v>
      </c>
      <c r="D62">
        <v>1</v>
      </c>
      <c r="E62" s="2">
        <v>1020</v>
      </c>
      <c r="F62">
        <v>21</v>
      </c>
      <c r="G62">
        <v>2</v>
      </c>
      <c r="H62" s="2" t="s">
        <v>11</v>
      </c>
    </row>
    <row r="63" spans="1:8">
      <c r="A63" s="2" t="s">
        <v>101</v>
      </c>
      <c r="B63" s="3">
        <v>46283</v>
      </c>
      <c r="C63" s="2" t="s">
        <v>13</v>
      </c>
      <c r="D63">
        <v>1</v>
      </c>
      <c r="E63" s="2">
        <v>1157</v>
      </c>
      <c r="F63">
        <v>24</v>
      </c>
      <c r="G63">
        <v>3</v>
      </c>
      <c r="H63" s="2" t="s">
        <v>14</v>
      </c>
    </row>
    <row r="64" spans="1:8">
      <c r="A64" s="2" t="s">
        <v>102</v>
      </c>
      <c r="B64" s="3">
        <v>46283</v>
      </c>
      <c r="C64" s="2" t="s">
        <v>16</v>
      </c>
      <c r="D64">
        <v>1</v>
      </c>
      <c r="E64" s="2">
        <v>1014</v>
      </c>
      <c r="F64">
        <v>27</v>
      </c>
      <c r="G64">
        <v>4</v>
      </c>
      <c r="H64" s="2" t="s">
        <v>11</v>
      </c>
    </row>
    <row r="65" spans="1:8">
      <c r="A65" s="2" t="s">
        <v>103</v>
      </c>
      <c r="B65" s="3">
        <v>46283</v>
      </c>
      <c r="C65" s="2" t="s">
        <v>18</v>
      </c>
      <c r="D65">
        <v>1.5</v>
      </c>
      <c r="E65" s="2">
        <v>1401</v>
      </c>
      <c r="F65">
        <v>30</v>
      </c>
      <c r="G65">
        <v>5</v>
      </c>
      <c r="H65" s="2" t="s">
        <v>14</v>
      </c>
    </row>
    <row r="66" spans="1:8">
      <c r="A66" s="2" t="s">
        <v>104</v>
      </c>
      <c r="B66" s="3">
        <v>46283</v>
      </c>
      <c r="C66" s="2" t="s">
        <v>20</v>
      </c>
      <c r="D66">
        <v>2</v>
      </c>
      <c r="E66" s="2">
        <v>778</v>
      </c>
      <c r="F66">
        <v>14</v>
      </c>
      <c r="G66">
        <v>2</v>
      </c>
      <c r="H66" s="2" t="s">
        <v>11</v>
      </c>
    </row>
    <row r="67" spans="1:8">
      <c r="A67" s="2" t="s">
        <v>105</v>
      </c>
      <c r="B67" s="3">
        <v>46283</v>
      </c>
      <c r="C67" s="2" t="s">
        <v>22</v>
      </c>
      <c r="D67">
        <v>1</v>
      </c>
      <c r="E67" s="2">
        <v>1015</v>
      </c>
      <c r="F67">
        <v>17</v>
      </c>
      <c r="G67">
        <v>3</v>
      </c>
      <c r="H67" s="2" t="s">
        <v>14</v>
      </c>
    </row>
    <row r="68" spans="1:8">
      <c r="A68" s="2" t="s">
        <v>106</v>
      </c>
      <c r="B68" s="3">
        <v>46283</v>
      </c>
      <c r="C68" s="2" t="s">
        <v>10</v>
      </c>
      <c r="D68">
        <v>1</v>
      </c>
      <c r="E68" s="2">
        <v>982</v>
      </c>
      <c r="F68">
        <v>20</v>
      </c>
      <c r="G68">
        <v>4</v>
      </c>
      <c r="H68" s="2" t="s">
        <v>11</v>
      </c>
    </row>
    <row r="69" spans="1:8">
      <c r="A69" s="2" t="s">
        <v>107</v>
      </c>
      <c r="B69" s="3">
        <v>46283</v>
      </c>
      <c r="C69" s="2" t="s">
        <v>13</v>
      </c>
      <c r="D69">
        <v>1</v>
      </c>
      <c r="E69" s="2">
        <v>1119</v>
      </c>
      <c r="F69">
        <v>23</v>
      </c>
      <c r="G69">
        <v>5</v>
      </c>
      <c r="H69" s="2" t="s">
        <v>14</v>
      </c>
    </row>
    <row r="70" spans="1:8">
      <c r="A70" s="2" t="s">
        <v>108</v>
      </c>
      <c r="B70" s="3">
        <v>46283</v>
      </c>
      <c r="C70" s="2" t="s">
        <v>16</v>
      </c>
      <c r="D70">
        <v>1.5</v>
      </c>
      <c r="E70" s="2">
        <v>976</v>
      </c>
      <c r="F70">
        <v>26</v>
      </c>
      <c r="G70">
        <v>2</v>
      </c>
      <c r="H70" s="2" t="s">
        <v>11</v>
      </c>
    </row>
    <row r="71" spans="1:8">
      <c r="A71" s="2" t="s">
        <v>109</v>
      </c>
      <c r="B71" s="3">
        <v>46283</v>
      </c>
      <c r="C71" s="2" t="s">
        <v>18</v>
      </c>
      <c r="D71">
        <v>2</v>
      </c>
      <c r="E71" s="2">
        <v>1363</v>
      </c>
      <c r="F71">
        <v>29</v>
      </c>
      <c r="G71">
        <v>3</v>
      </c>
      <c r="H71" s="2" t="s">
        <v>14</v>
      </c>
    </row>
    <row r="72" spans="1:8">
      <c r="A72" s="2" t="s">
        <v>110</v>
      </c>
      <c r="B72" s="3">
        <v>46283</v>
      </c>
      <c r="C72" s="2" t="s">
        <v>20</v>
      </c>
      <c r="D72">
        <v>1</v>
      </c>
      <c r="E72" s="2">
        <v>1000</v>
      </c>
      <c r="F72">
        <v>13</v>
      </c>
      <c r="G72">
        <v>4</v>
      </c>
      <c r="H72" s="2" t="s">
        <v>11</v>
      </c>
    </row>
    <row r="73" spans="1:8">
      <c r="A73" s="2" t="s">
        <v>111</v>
      </c>
      <c r="B73" s="3">
        <v>46283</v>
      </c>
      <c r="C73" s="2" t="s">
        <v>22</v>
      </c>
      <c r="D73">
        <v>1</v>
      </c>
      <c r="E73" s="2">
        <v>977</v>
      </c>
      <c r="F73">
        <v>16</v>
      </c>
      <c r="G73">
        <v>5</v>
      </c>
      <c r="H73" s="2" t="s">
        <v>14</v>
      </c>
    </row>
    <row r="74" spans="1:8">
      <c r="A74" s="2" t="s">
        <v>112</v>
      </c>
      <c r="B74" s="3">
        <v>46284</v>
      </c>
      <c r="C74" s="2" t="s">
        <v>10</v>
      </c>
      <c r="D74">
        <v>1</v>
      </c>
      <c r="E74" s="2">
        <v>944</v>
      </c>
      <c r="F74">
        <v>19</v>
      </c>
      <c r="G74">
        <v>2</v>
      </c>
      <c r="H74" s="2" t="s">
        <v>11</v>
      </c>
    </row>
    <row r="75" spans="1:8">
      <c r="A75" s="2" t="s">
        <v>114</v>
      </c>
      <c r="B75" s="3">
        <v>46284</v>
      </c>
      <c r="C75" s="2" t="s">
        <v>13</v>
      </c>
      <c r="D75">
        <v>1.5</v>
      </c>
      <c r="E75" s="2">
        <v>1081</v>
      </c>
      <c r="F75">
        <v>22</v>
      </c>
      <c r="G75">
        <v>3</v>
      </c>
      <c r="H75" s="2" t="s">
        <v>14</v>
      </c>
    </row>
    <row r="76" spans="1:8">
      <c r="A76" s="2" t="s">
        <v>115</v>
      </c>
      <c r="B76" s="3">
        <v>46284</v>
      </c>
      <c r="C76" s="2" t="s">
        <v>16</v>
      </c>
      <c r="D76">
        <v>2</v>
      </c>
      <c r="E76" s="2">
        <v>938</v>
      </c>
      <c r="F76">
        <v>25</v>
      </c>
      <c r="G76">
        <v>4</v>
      </c>
      <c r="H76" s="2" t="s">
        <v>11</v>
      </c>
    </row>
    <row r="77" spans="1:8">
      <c r="A77" s="2" t="s">
        <v>116</v>
      </c>
      <c r="B77" s="3">
        <v>46284</v>
      </c>
      <c r="C77" s="2" t="s">
        <v>18</v>
      </c>
      <c r="D77">
        <v>1</v>
      </c>
      <c r="E77" s="2">
        <v>1325</v>
      </c>
      <c r="F77">
        <v>28</v>
      </c>
      <c r="G77">
        <v>5</v>
      </c>
      <c r="H77" s="2" t="s">
        <v>14</v>
      </c>
    </row>
    <row r="78" spans="1:8">
      <c r="A78" s="2" t="s">
        <v>117</v>
      </c>
      <c r="B78" s="3">
        <v>46284</v>
      </c>
      <c r="C78" s="2" t="s">
        <v>20</v>
      </c>
      <c r="D78">
        <v>1</v>
      </c>
      <c r="E78" s="2">
        <v>962</v>
      </c>
      <c r="F78">
        <v>12</v>
      </c>
      <c r="G78">
        <v>2</v>
      </c>
      <c r="H78" s="2" t="s">
        <v>11</v>
      </c>
    </row>
    <row r="79" spans="1:8">
      <c r="A79" s="2" t="s">
        <v>118</v>
      </c>
      <c r="B79" s="3">
        <v>46284</v>
      </c>
      <c r="C79" s="2" t="s">
        <v>22</v>
      </c>
      <c r="D79">
        <v>1</v>
      </c>
      <c r="E79" s="2">
        <v>1199</v>
      </c>
      <c r="F79">
        <v>15</v>
      </c>
      <c r="G79">
        <v>3</v>
      </c>
      <c r="H79" s="2" t="s">
        <v>14</v>
      </c>
    </row>
    <row r="80" spans="1:8">
      <c r="A80" s="2" t="s">
        <v>119</v>
      </c>
      <c r="B80" s="3">
        <v>46284</v>
      </c>
      <c r="C80" s="2" t="s">
        <v>10</v>
      </c>
      <c r="D80">
        <v>1.5</v>
      </c>
      <c r="E80" s="2">
        <v>906</v>
      </c>
      <c r="F80">
        <v>18</v>
      </c>
      <c r="G80">
        <v>4</v>
      </c>
      <c r="H80" s="2" t="s">
        <v>11</v>
      </c>
    </row>
    <row r="81" spans="1:8">
      <c r="A81" s="2" t="s">
        <v>120</v>
      </c>
      <c r="B81" s="3">
        <v>46284</v>
      </c>
      <c r="C81" s="2" t="s">
        <v>13</v>
      </c>
      <c r="D81">
        <v>2</v>
      </c>
      <c r="E81" s="2">
        <v>1043</v>
      </c>
      <c r="F81">
        <v>21</v>
      </c>
      <c r="G81">
        <v>5</v>
      </c>
      <c r="H81" s="2" t="s">
        <v>14</v>
      </c>
    </row>
    <row r="82" spans="1:8">
      <c r="A82" s="2" t="s">
        <v>121</v>
      </c>
      <c r="B82" s="3">
        <v>46284</v>
      </c>
      <c r="C82" s="2" t="s">
        <v>16</v>
      </c>
      <c r="D82">
        <v>1</v>
      </c>
      <c r="E82" s="2">
        <v>900</v>
      </c>
      <c r="F82">
        <v>24</v>
      </c>
      <c r="G82">
        <v>2</v>
      </c>
      <c r="H82" s="2" t="s">
        <v>11</v>
      </c>
    </row>
    <row r="83" spans="1:8">
      <c r="A83" s="2" t="s">
        <v>122</v>
      </c>
      <c r="B83" s="3">
        <v>46284</v>
      </c>
      <c r="C83" s="2" t="s">
        <v>18</v>
      </c>
      <c r="D83">
        <v>1</v>
      </c>
      <c r="E83" s="2">
        <v>1287</v>
      </c>
      <c r="F83">
        <v>27</v>
      </c>
      <c r="G83">
        <v>3</v>
      </c>
      <c r="H83" s="2" t="s">
        <v>14</v>
      </c>
    </row>
    <row r="84" spans="1:8">
      <c r="A84" s="2" t="s">
        <v>123</v>
      </c>
      <c r="B84" s="3">
        <v>46284</v>
      </c>
      <c r="C84" s="2" t="s">
        <v>20</v>
      </c>
      <c r="D84">
        <v>1</v>
      </c>
      <c r="E84" s="2">
        <v>924</v>
      </c>
      <c r="F84">
        <v>30</v>
      </c>
      <c r="G84">
        <v>4</v>
      </c>
      <c r="H84" s="2" t="s">
        <v>11</v>
      </c>
    </row>
    <row r="85" spans="1:8">
      <c r="A85" s="2" t="s">
        <v>124</v>
      </c>
      <c r="B85" s="3">
        <v>46284</v>
      </c>
      <c r="C85" s="2" t="s">
        <v>22</v>
      </c>
      <c r="D85">
        <v>1.5</v>
      </c>
      <c r="E85" s="2">
        <v>1161</v>
      </c>
      <c r="F85">
        <v>14</v>
      </c>
      <c r="G85">
        <v>5</v>
      </c>
      <c r="H85" s="2" t="s">
        <v>14</v>
      </c>
    </row>
    <row r="86" spans="1:8">
      <c r="A86" s="2" t="s">
        <v>125</v>
      </c>
      <c r="B86" s="3">
        <v>46284</v>
      </c>
      <c r="C86" s="2" t="s">
        <v>10</v>
      </c>
      <c r="D86">
        <v>2</v>
      </c>
      <c r="E86" s="2">
        <v>1128</v>
      </c>
      <c r="F86">
        <v>17</v>
      </c>
      <c r="G86">
        <v>2</v>
      </c>
      <c r="H86" s="2" t="s">
        <v>11</v>
      </c>
    </row>
    <row r="87" spans="1:8">
      <c r="A87" s="2" t="s">
        <v>126</v>
      </c>
      <c r="B87" s="3">
        <v>46284</v>
      </c>
      <c r="C87" s="2" t="s">
        <v>13</v>
      </c>
      <c r="D87">
        <v>1</v>
      </c>
      <c r="E87" s="2">
        <v>1005</v>
      </c>
      <c r="F87">
        <v>20</v>
      </c>
      <c r="G87">
        <v>3</v>
      </c>
      <c r="H87" s="2" t="s">
        <v>14</v>
      </c>
    </row>
    <row r="88" spans="1:8">
      <c r="A88" s="2" t="s">
        <v>127</v>
      </c>
      <c r="B88" s="3">
        <v>46284</v>
      </c>
      <c r="C88" s="2" t="s">
        <v>16</v>
      </c>
      <c r="D88">
        <v>1</v>
      </c>
      <c r="E88" s="2">
        <v>862</v>
      </c>
      <c r="F88">
        <v>23</v>
      </c>
      <c r="G88">
        <v>4</v>
      </c>
      <c r="H88" s="2" t="s">
        <v>11</v>
      </c>
    </row>
    <row r="89" spans="1:8">
      <c r="A89" s="2" t="s">
        <v>128</v>
      </c>
      <c r="B89" s="3">
        <v>46284</v>
      </c>
      <c r="C89" s="2" t="s">
        <v>18</v>
      </c>
      <c r="D89">
        <v>1</v>
      </c>
      <c r="E89" s="2">
        <v>1249</v>
      </c>
      <c r="F89">
        <v>26</v>
      </c>
      <c r="G89">
        <v>5</v>
      </c>
      <c r="H89" s="2" t="s">
        <v>14</v>
      </c>
    </row>
    <row r="90" spans="1:8">
      <c r="A90" s="2" t="s">
        <v>129</v>
      </c>
      <c r="B90" s="3">
        <v>46284</v>
      </c>
      <c r="C90" s="2" t="s">
        <v>20</v>
      </c>
      <c r="D90">
        <v>1.5</v>
      </c>
      <c r="E90" s="2">
        <v>886</v>
      </c>
      <c r="F90">
        <v>29</v>
      </c>
      <c r="G90">
        <v>2</v>
      </c>
      <c r="H90" s="2" t="s">
        <v>11</v>
      </c>
    </row>
    <row r="91" spans="1:8">
      <c r="A91" s="2" t="s">
        <v>130</v>
      </c>
      <c r="B91" s="3">
        <v>46284</v>
      </c>
      <c r="C91" s="2" t="s">
        <v>22</v>
      </c>
      <c r="D91">
        <v>2</v>
      </c>
      <c r="E91" s="2">
        <v>1123</v>
      </c>
      <c r="F91">
        <v>13</v>
      </c>
      <c r="G91">
        <v>3</v>
      </c>
      <c r="H91" s="2" t="s">
        <v>14</v>
      </c>
    </row>
    <row r="92" spans="1:8">
      <c r="A92" s="2" t="s">
        <v>131</v>
      </c>
      <c r="B92" s="3">
        <v>46285</v>
      </c>
      <c r="C92" s="2" t="s">
        <v>10</v>
      </c>
      <c r="D92">
        <v>1</v>
      </c>
      <c r="E92" s="2">
        <v>1090</v>
      </c>
      <c r="F92">
        <v>16</v>
      </c>
      <c r="G92">
        <v>4</v>
      </c>
      <c r="H92" s="2" t="s">
        <v>11</v>
      </c>
    </row>
    <row r="93" spans="1:8">
      <c r="A93" s="2" t="s">
        <v>133</v>
      </c>
      <c r="B93" s="3">
        <v>46285</v>
      </c>
      <c r="C93" s="2" t="s">
        <v>13</v>
      </c>
      <c r="D93">
        <v>1</v>
      </c>
      <c r="E93" s="2">
        <v>1227</v>
      </c>
      <c r="F93">
        <v>19</v>
      </c>
      <c r="G93">
        <v>5</v>
      </c>
      <c r="H93" s="2" t="s">
        <v>14</v>
      </c>
    </row>
    <row r="94" spans="1:8">
      <c r="A94" s="2" t="s">
        <v>134</v>
      </c>
      <c r="B94" s="3">
        <v>46285</v>
      </c>
      <c r="C94" s="2" t="s">
        <v>16</v>
      </c>
      <c r="D94">
        <v>1</v>
      </c>
      <c r="E94" s="2">
        <v>824</v>
      </c>
      <c r="F94">
        <v>22</v>
      </c>
      <c r="G94">
        <v>2</v>
      </c>
      <c r="H94" s="2" t="s">
        <v>11</v>
      </c>
    </row>
    <row r="95" spans="1:8">
      <c r="A95" s="2" t="s">
        <v>135</v>
      </c>
      <c r="B95" s="3">
        <v>46285</v>
      </c>
      <c r="C95" s="2" t="s">
        <v>18</v>
      </c>
      <c r="D95">
        <v>1.5</v>
      </c>
      <c r="E95" s="2">
        <v>1211</v>
      </c>
      <c r="F95">
        <v>25</v>
      </c>
      <c r="G95">
        <v>3</v>
      </c>
      <c r="H95" s="2" t="s">
        <v>14</v>
      </c>
    </row>
    <row r="96" spans="1:8">
      <c r="A96" s="2" t="s">
        <v>136</v>
      </c>
      <c r="B96" s="3">
        <v>46285</v>
      </c>
      <c r="C96" s="2" t="s">
        <v>20</v>
      </c>
      <c r="D96">
        <v>2</v>
      </c>
      <c r="E96" s="2">
        <v>848</v>
      </c>
      <c r="F96">
        <v>28</v>
      </c>
      <c r="G96">
        <v>4</v>
      </c>
      <c r="H96" s="2" t="s">
        <v>11</v>
      </c>
    </row>
    <row r="97" spans="1:8">
      <c r="A97" s="2" t="s">
        <v>137</v>
      </c>
      <c r="B97" s="3">
        <v>46285</v>
      </c>
      <c r="C97" s="2" t="s">
        <v>22</v>
      </c>
      <c r="D97">
        <v>1</v>
      </c>
      <c r="E97" s="2">
        <v>1085</v>
      </c>
      <c r="F97">
        <v>12</v>
      </c>
      <c r="G97">
        <v>5</v>
      </c>
      <c r="H97" s="2" t="s">
        <v>14</v>
      </c>
    </row>
    <row r="98" spans="1:8">
      <c r="A98" s="2" t="s">
        <v>138</v>
      </c>
      <c r="B98" s="3">
        <v>46285</v>
      </c>
      <c r="C98" s="2" t="s">
        <v>10</v>
      </c>
      <c r="D98">
        <v>1</v>
      </c>
      <c r="E98" s="2">
        <v>1052</v>
      </c>
      <c r="F98">
        <v>15</v>
      </c>
      <c r="G98">
        <v>2</v>
      </c>
      <c r="H98" s="2" t="s">
        <v>11</v>
      </c>
    </row>
    <row r="99" spans="1:8">
      <c r="A99" s="2" t="s">
        <v>139</v>
      </c>
      <c r="B99" s="3">
        <v>46285</v>
      </c>
      <c r="C99" s="2" t="s">
        <v>13</v>
      </c>
      <c r="D99">
        <v>1</v>
      </c>
      <c r="E99" s="2">
        <v>1189</v>
      </c>
      <c r="F99">
        <v>18</v>
      </c>
      <c r="G99">
        <v>3</v>
      </c>
      <c r="H99" s="2" t="s">
        <v>14</v>
      </c>
    </row>
    <row r="100" spans="1:8">
      <c r="A100" s="2" t="s">
        <v>140</v>
      </c>
      <c r="B100" s="3">
        <v>46285</v>
      </c>
      <c r="C100" s="2" t="s">
        <v>16</v>
      </c>
      <c r="D100">
        <v>1.5</v>
      </c>
      <c r="E100" s="2">
        <v>1046</v>
      </c>
      <c r="F100">
        <v>21</v>
      </c>
      <c r="G100">
        <v>4</v>
      </c>
      <c r="H100" s="2" t="s">
        <v>11</v>
      </c>
    </row>
    <row r="101" spans="1:8">
      <c r="A101" s="2" t="s">
        <v>141</v>
      </c>
      <c r="B101" s="3">
        <v>46285</v>
      </c>
      <c r="C101" s="2" t="s">
        <v>18</v>
      </c>
      <c r="D101">
        <v>2</v>
      </c>
      <c r="E101" s="2">
        <v>1173</v>
      </c>
      <c r="F101">
        <v>24</v>
      </c>
      <c r="G101">
        <v>5</v>
      </c>
      <c r="H101" s="2" t="s">
        <v>14</v>
      </c>
    </row>
    <row r="102" spans="1:8">
      <c r="A102" s="2" t="s">
        <v>142</v>
      </c>
      <c r="B102" s="3">
        <v>46285</v>
      </c>
      <c r="C102" s="2" t="s">
        <v>20</v>
      </c>
      <c r="D102">
        <v>1</v>
      </c>
      <c r="E102" s="2">
        <v>810</v>
      </c>
      <c r="F102">
        <v>27</v>
      </c>
      <c r="G102">
        <v>2</v>
      </c>
      <c r="H102" s="2" t="s">
        <v>11</v>
      </c>
    </row>
    <row r="103" spans="1:8">
      <c r="A103" s="2" t="s">
        <v>143</v>
      </c>
      <c r="B103" s="3">
        <v>46285</v>
      </c>
      <c r="C103" s="2" t="s">
        <v>22</v>
      </c>
      <c r="D103">
        <v>1</v>
      </c>
      <c r="E103" s="2">
        <v>1047</v>
      </c>
      <c r="F103">
        <v>30</v>
      </c>
      <c r="G103">
        <v>3</v>
      </c>
      <c r="H103" s="2" t="s">
        <v>14</v>
      </c>
    </row>
    <row r="104" spans="1:8">
      <c r="A104" s="2" t="s">
        <v>144</v>
      </c>
      <c r="B104" s="3">
        <v>46285</v>
      </c>
      <c r="C104" s="2" t="s">
        <v>10</v>
      </c>
      <c r="D104">
        <v>1</v>
      </c>
      <c r="E104" s="2">
        <v>1014</v>
      </c>
      <c r="F104">
        <v>14</v>
      </c>
      <c r="G104">
        <v>4</v>
      </c>
      <c r="H104" s="2" t="s">
        <v>11</v>
      </c>
    </row>
    <row r="105" spans="1:8">
      <c r="A105" s="2" t="s">
        <v>145</v>
      </c>
      <c r="B105" s="3">
        <v>46285</v>
      </c>
      <c r="C105" s="2" t="s">
        <v>13</v>
      </c>
      <c r="D105">
        <v>1.5</v>
      </c>
      <c r="E105" s="2">
        <v>1151</v>
      </c>
      <c r="F105">
        <v>17</v>
      </c>
      <c r="G105">
        <v>5</v>
      </c>
      <c r="H105" s="2" t="s">
        <v>14</v>
      </c>
    </row>
    <row r="106" spans="1:8">
      <c r="A106" s="2" t="s">
        <v>146</v>
      </c>
      <c r="B106" s="3">
        <v>46285</v>
      </c>
      <c r="C106" s="2" t="s">
        <v>16</v>
      </c>
      <c r="D106">
        <v>2</v>
      </c>
      <c r="E106" s="2">
        <v>1008</v>
      </c>
      <c r="F106">
        <v>20</v>
      </c>
      <c r="G106">
        <v>2</v>
      </c>
      <c r="H106" s="2" t="s">
        <v>11</v>
      </c>
    </row>
    <row r="107" spans="1:8">
      <c r="A107" s="2" t="s">
        <v>147</v>
      </c>
      <c r="B107" s="3">
        <v>46285</v>
      </c>
      <c r="C107" s="2" t="s">
        <v>18</v>
      </c>
      <c r="D107">
        <v>1</v>
      </c>
      <c r="E107" s="2">
        <v>1395</v>
      </c>
      <c r="F107">
        <v>23</v>
      </c>
      <c r="G107">
        <v>3</v>
      </c>
      <c r="H107" s="2" t="s">
        <v>14</v>
      </c>
    </row>
    <row r="108" spans="1:8">
      <c r="A108" s="2" t="s">
        <v>148</v>
      </c>
      <c r="B108" s="3">
        <v>46285</v>
      </c>
      <c r="C108" s="2" t="s">
        <v>20</v>
      </c>
      <c r="D108">
        <v>1</v>
      </c>
      <c r="E108" s="2">
        <v>772</v>
      </c>
      <c r="F108">
        <v>26</v>
      </c>
      <c r="G108">
        <v>4</v>
      </c>
      <c r="H108" s="2" t="s">
        <v>11</v>
      </c>
    </row>
    <row r="109" spans="1:8">
      <c r="A109" s="2" t="s">
        <v>149</v>
      </c>
      <c r="B109" s="3">
        <v>46285</v>
      </c>
      <c r="C109" s="2" t="s">
        <v>22</v>
      </c>
      <c r="D109">
        <v>1</v>
      </c>
      <c r="E109" s="2">
        <v>1009</v>
      </c>
      <c r="F109">
        <v>29</v>
      </c>
      <c r="G109">
        <v>5</v>
      </c>
      <c r="H109" s="2" t="s">
        <v>14</v>
      </c>
    </row>
    <row r="110" spans="1:8">
      <c r="A110" s="2" t="s">
        <v>150</v>
      </c>
      <c r="B110" s="3">
        <v>46286</v>
      </c>
      <c r="C110" s="2" t="s">
        <v>10</v>
      </c>
      <c r="D110">
        <v>1.5</v>
      </c>
      <c r="E110" s="2">
        <v>976</v>
      </c>
      <c r="F110">
        <v>13</v>
      </c>
      <c r="G110">
        <v>2</v>
      </c>
      <c r="H110" s="2" t="s">
        <v>11</v>
      </c>
    </row>
    <row r="111" spans="1:8">
      <c r="A111" s="2" t="s">
        <v>152</v>
      </c>
      <c r="B111" s="3">
        <v>46286</v>
      </c>
      <c r="C111" s="2" t="s">
        <v>13</v>
      </c>
      <c r="D111">
        <v>2</v>
      </c>
      <c r="E111" s="2">
        <v>1113</v>
      </c>
      <c r="F111">
        <v>16</v>
      </c>
      <c r="G111">
        <v>3</v>
      </c>
      <c r="H111" s="2" t="s">
        <v>14</v>
      </c>
    </row>
    <row r="112" spans="1:8">
      <c r="A112" s="2" t="s">
        <v>153</v>
      </c>
      <c r="B112" s="3">
        <v>46286</v>
      </c>
      <c r="C112" s="2" t="s">
        <v>16</v>
      </c>
      <c r="D112">
        <v>1</v>
      </c>
      <c r="E112" s="2">
        <v>970</v>
      </c>
      <c r="F112">
        <v>19</v>
      </c>
      <c r="G112">
        <v>4</v>
      </c>
      <c r="H112" s="2" t="s">
        <v>11</v>
      </c>
    </row>
    <row r="113" spans="1:8">
      <c r="A113" s="2" t="s">
        <v>154</v>
      </c>
      <c r="B113" s="3">
        <v>46286</v>
      </c>
      <c r="C113" s="2" t="s">
        <v>18</v>
      </c>
      <c r="D113">
        <v>1</v>
      </c>
      <c r="E113" s="2">
        <v>1357</v>
      </c>
      <c r="F113">
        <v>22</v>
      </c>
      <c r="G113">
        <v>5</v>
      </c>
      <c r="H113" s="2" t="s">
        <v>14</v>
      </c>
    </row>
    <row r="114" spans="1:8">
      <c r="A114" s="2" t="s">
        <v>155</v>
      </c>
      <c r="B114" s="3">
        <v>46286</v>
      </c>
      <c r="C114" s="2" t="s">
        <v>20</v>
      </c>
      <c r="D114">
        <v>1</v>
      </c>
      <c r="E114" s="2">
        <v>994</v>
      </c>
      <c r="F114">
        <v>25</v>
      </c>
      <c r="G114">
        <v>2</v>
      </c>
      <c r="H114" s="2" t="s">
        <v>11</v>
      </c>
    </row>
    <row r="115" spans="1:8">
      <c r="A115" s="2" t="s">
        <v>156</v>
      </c>
      <c r="B115" s="3">
        <v>46286</v>
      </c>
      <c r="C115" s="2" t="s">
        <v>22</v>
      </c>
      <c r="D115">
        <v>1.5</v>
      </c>
      <c r="E115" s="2">
        <v>971</v>
      </c>
      <c r="F115">
        <v>28</v>
      </c>
      <c r="G115">
        <v>3</v>
      </c>
      <c r="H115" s="2" t="s">
        <v>14</v>
      </c>
    </row>
    <row r="116" spans="1:8">
      <c r="A116" s="2" t="s">
        <v>157</v>
      </c>
      <c r="B116" s="3">
        <v>46286</v>
      </c>
      <c r="C116" s="2" t="s">
        <v>10</v>
      </c>
      <c r="D116">
        <v>2</v>
      </c>
      <c r="E116" s="2">
        <v>938</v>
      </c>
      <c r="F116">
        <v>12</v>
      </c>
      <c r="G116">
        <v>4</v>
      </c>
      <c r="H116" s="2" t="s">
        <v>11</v>
      </c>
    </row>
    <row r="117" spans="1:8">
      <c r="A117" s="2" t="s">
        <v>158</v>
      </c>
      <c r="B117" s="3">
        <v>46286</v>
      </c>
      <c r="C117" s="2" t="s">
        <v>13</v>
      </c>
      <c r="D117">
        <v>1</v>
      </c>
      <c r="E117" s="2">
        <v>1075</v>
      </c>
      <c r="F117">
        <v>15</v>
      </c>
      <c r="G117">
        <v>5</v>
      </c>
      <c r="H117" s="2" t="s">
        <v>14</v>
      </c>
    </row>
    <row r="118" spans="1:8">
      <c r="A118" s="2" t="s">
        <v>159</v>
      </c>
      <c r="B118" s="3">
        <v>46286</v>
      </c>
      <c r="C118" s="2" t="s">
        <v>16</v>
      </c>
      <c r="D118">
        <v>1</v>
      </c>
      <c r="E118" s="2">
        <v>932</v>
      </c>
      <c r="F118">
        <v>18</v>
      </c>
      <c r="G118">
        <v>2</v>
      </c>
      <c r="H118" s="2" t="s">
        <v>11</v>
      </c>
    </row>
    <row r="119" spans="1:8">
      <c r="A119" s="2" t="s">
        <v>160</v>
      </c>
      <c r="B119" s="3">
        <v>46286</v>
      </c>
      <c r="C119" s="2" t="s">
        <v>18</v>
      </c>
      <c r="D119">
        <v>1</v>
      </c>
      <c r="E119" s="2">
        <v>1319</v>
      </c>
      <c r="F119">
        <v>21</v>
      </c>
      <c r="G119">
        <v>3</v>
      </c>
      <c r="H119" s="2" t="s">
        <v>14</v>
      </c>
    </row>
    <row r="120" spans="1:8">
      <c r="A120" s="2" t="s">
        <v>161</v>
      </c>
      <c r="B120" s="3">
        <v>46286</v>
      </c>
      <c r="C120" s="2" t="s">
        <v>20</v>
      </c>
      <c r="D120">
        <v>1.5</v>
      </c>
      <c r="E120" s="2">
        <v>956</v>
      </c>
      <c r="F120">
        <v>24</v>
      </c>
      <c r="G120">
        <v>4</v>
      </c>
      <c r="H120" s="2" t="s">
        <v>11</v>
      </c>
    </row>
    <row r="121" spans="1:8">
      <c r="A121" s="2" t="s">
        <v>162</v>
      </c>
      <c r="B121" s="3">
        <v>46286</v>
      </c>
      <c r="C121" s="2" t="s">
        <v>22</v>
      </c>
      <c r="D121">
        <v>2</v>
      </c>
      <c r="E121" s="2">
        <v>1193</v>
      </c>
      <c r="F121">
        <v>27</v>
      </c>
      <c r="G121">
        <v>5</v>
      </c>
      <c r="H121" s="2" t="s">
        <v>14</v>
      </c>
    </row>
    <row r="122" spans="1:8">
      <c r="A122" s="2" t="s">
        <v>163</v>
      </c>
      <c r="B122" s="3">
        <v>46286</v>
      </c>
      <c r="C122" s="2" t="s">
        <v>10</v>
      </c>
      <c r="D122">
        <v>1</v>
      </c>
      <c r="E122" s="2">
        <v>900</v>
      </c>
      <c r="F122">
        <v>30</v>
      </c>
      <c r="G122">
        <v>2</v>
      </c>
      <c r="H122" s="2" t="s">
        <v>11</v>
      </c>
    </row>
    <row r="123" spans="1:8">
      <c r="A123" s="2" t="s">
        <v>164</v>
      </c>
      <c r="B123" s="3">
        <v>46286</v>
      </c>
      <c r="C123" s="2" t="s">
        <v>13</v>
      </c>
      <c r="D123">
        <v>1</v>
      </c>
      <c r="E123" s="2">
        <v>1037</v>
      </c>
      <c r="F123">
        <v>14</v>
      </c>
      <c r="G123">
        <v>3</v>
      </c>
      <c r="H123" s="2" t="s">
        <v>14</v>
      </c>
    </row>
    <row r="124" spans="1:8">
      <c r="A124" s="2" t="s">
        <v>165</v>
      </c>
      <c r="B124" s="3">
        <v>46286</v>
      </c>
      <c r="C124" s="2" t="s">
        <v>16</v>
      </c>
      <c r="D124">
        <v>1</v>
      </c>
      <c r="E124" s="2">
        <v>894</v>
      </c>
      <c r="F124">
        <v>17</v>
      </c>
      <c r="G124">
        <v>4</v>
      </c>
      <c r="H124" s="2" t="s">
        <v>11</v>
      </c>
    </row>
    <row r="125" spans="1:8">
      <c r="A125" s="2" t="s">
        <v>166</v>
      </c>
      <c r="B125" s="3">
        <v>46286</v>
      </c>
      <c r="C125" s="2" t="s">
        <v>18</v>
      </c>
      <c r="D125">
        <v>1.5</v>
      </c>
      <c r="E125" s="2">
        <v>1281</v>
      </c>
      <c r="F125">
        <v>20</v>
      </c>
      <c r="G125">
        <v>5</v>
      </c>
      <c r="H125" s="2" t="s">
        <v>14</v>
      </c>
    </row>
    <row r="126" spans="1:8">
      <c r="A126" s="2" t="s">
        <v>167</v>
      </c>
      <c r="B126" s="3">
        <v>46286</v>
      </c>
      <c r="C126" s="2" t="s">
        <v>20</v>
      </c>
      <c r="D126">
        <v>2</v>
      </c>
      <c r="E126" s="2">
        <v>918</v>
      </c>
      <c r="F126">
        <v>23</v>
      </c>
      <c r="G126">
        <v>2</v>
      </c>
      <c r="H126" s="2" t="s">
        <v>11</v>
      </c>
    </row>
    <row r="127" spans="1:8">
      <c r="A127" s="2" t="s">
        <v>168</v>
      </c>
      <c r="B127" s="3">
        <v>46286</v>
      </c>
      <c r="C127" s="2" t="s">
        <v>22</v>
      </c>
      <c r="D127">
        <v>1</v>
      </c>
      <c r="E127" s="2">
        <v>1155</v>
      </c>
      <c r="F127">
        <v>26</v>
      </c>
      <c r="G127">
        <v>3</v>
      </c>
      <c r="H127" s="2" t="s">
        <v>14</v>
      </c>
    </row>
    <row r="128" spans="1:8">
      <c r="A128" s="2" t="s">
        <v>169</v>
      </c>
      <c r="B128" s="3">
        <v>46287</v>
      </c>
      <c r="C128" s="2" t="s">
        <v>10</v>
      </c>
      <c r="D128">
        <v>1</v>
      </c>
      <c r="E128" s="2">
        <v>1122</v>
      </c>
      <c r="F128">
        <v>29</v>
      </c>
      <c r="G128">
        <v>4</v>
      </c>
      <c r="H128" s="2" t="s">
        <v>11</v>
      </c>
    </row>
    <row r="129" spans="1:8">
      <c r="A129" s="2" t="s">
        <v>171</v>
      </c>
      <c r="B129" s="3">
        <v>46287</v>
      </c>
      <c r="C129" s="2" t="s">
        <v>13</v>
      </c>
      <c r="D129">
        <v>1</v>
      </c>
      <c r="E129" s="2">
        <v>999</v>
      </c>
      <c r="F129">
        <v>13</v>
      </c>
      <c r="G129">
        <v>5</v>
      </c>
      <c r="H129" s="2" t="s">
        <v>14</v>
      </c>
    </row>
    <row r="130" spans="1:8">
      <c r="A130" s="2" t="s">
        <v>172</v>
      </c>
      <c r="B130" s="3">
        <v>46287</v>
      </c>
      <c r="C130" s="2" t="s">
        <v>16</v>
      </c>
      <c r="D130">
        <v>1.5</v>
      </c>
      <c r="E130" s="2">
        <v>856</v>
      </c>
      <c r="F130">
        <v>16</v>
      </c>
      <c r="G130">
        <v>2</v>
      </c>
      <c r="H130" s="2" t="s">
        <v>11</v>
      </c>
    </row>
    <row r="131" spans="1:8">
      <c r="A131" s="2" t="s">
        <v>173</v>
      </c>
      <c r="B131" s="3">
        <v>46287</v>
      </c>
      <c r="C131" s="2" t="s">
        <v>18</v>
      </c>
      <c r="D131">
        <v>2</v>
      </c>
      <c r="E131" s="2">
        <v>1243</v>
      </c>
      <c r="F131">
        <v>19</v>
      </c>
      <c r="G131">
        <v>3</v>
      </c>
      <c r="H131" s="2" t="s">
        <v>14</v>
      </c>
    </row>
    <row r="132" spans="1:8">
      <c r="A132" s="2" t="s">
        <v>174</v>
      </c>
      <c r="B132" s="3">
        <v>46287</v>
      </c>
      <c r="C132" s="2" t="s">
        <v>20</v>
      </c>
      <c r="D132">
        <v>1</v>
      </c>
      <c r="E132" s="2">
        <v>880</v>
      </c>
      <c r="F132">
        <v>22</v>
      </c>
      <c r="G132">
        <v>4</v>
      </c>
      <c r="H132" s="2" t="s">
        <v>11</v>
      </c>
    </row>
    <row r="133" spans="1:8">
      <c r="A133" s="2" t="s">
        <v>175</v>
      </c>
      <c r="B133" s="3">
        <v>46287</v>
      </c>
      <c r="C133" s="2" t="s">
        <v>22</v>
      </c>
      <c r="D133">
        <v>1</v>
      </c>
      <c r="E133" s="2">
        <v>1117</v>
      </c>
      <c r="F133">
        <v>25</v>
      </c>
      <c r="G133">
        <v>5</v>
      </c>
      <c r="H133" s="2" t="s">
        <v>14</v>
      </c>
    </row>
    <row r="134" spans="1:8">
      <c r="A134" s="2" t="s">
        <v>176</v>
      </c>
      <c r="B134" s="3">
        <v>46287</v>
      </c>
      <c r="C134" s="2" t="s">
        <v>10</v>
      </c>
      <c r="D134">
        <v>1</v>
      </c>
      <c r="E134" s="2">
        <v>1084</v>
      </c>
      <c r="F134">
        <v>28</v>
      </c>
      <c r="G134">
        <v>2</v>
      </c>
      <c r="H134" s="2" t="s">
        <v>11</v>
      </c>
    </row>
    <row r="135" spans="1:8">
      <c r="A135" s="2" t="s">
        <v>177</v>
      </c>
      <c r="B135" s="3">
        <v>46287</v>
      </c>
      <c r="C135" s="2" t="s">
        <v>13</v>
      </c>
      <c r="D135">
        <v>1.5</v>
      </c>
      <c r="E135" s="2">
        <v>1221</v>
      </c>
      <c r="F135">
        <v>12</v>
      </c>
      <c r="G135">
        <v>3</v>
      </c>
      <c r="H135" s="2" t="s">
        <v>14</v>
      </c>
    </row>
    <row r="136" spans="1:8">
      <c r="A136" s="2" t="s">
        <v>178</v>
      </c>
      <c r="B136" s="3">
        <v>46287</v>
      </c>
      <c r="C136" s="2" t="s">
        <v>16</v>
      </c>
      <c r="D136">
        <v>2</v>
      </c>
      <c r="E136" s="2">
        <v>818</v>
      </c>
      <c r="F136">
        <v>15</v>
      </c>
      <c r="G136">
        <v>4</v>
      </c>
      <c r="H136" s="2" t="s">
        <v>11</v>
      </c>
    </row>
    <row r="137" spans="1:8">
      <c r="A137" s="2" t="s">
        <v>179</v>
      </c>
      <c r="B137" s="3">
        <v>46287</v>
      </c>
      <c r="C137" s="2" t="s">
        <v>18</v>
      </c>
      <c r="D137">
        <v>1</v>
      </c>
      <c r="E137" s="2">
        <v>1205</v>
      </c>
      <c r="F137">
        <v>18</v>
      </c>
      <c r="G137">
        <v>5</v>
      </c>
      <c r="H137" s="2" t="s">
        <v>14</v>
      </c>
    </row>
    <row r="138" spans="1:8">
      <c r="A138" s="2" t="s">
        <v>180</v>
      </c>
      <c r="B138" s="3">
        <v>46287</v>
      </c>
      <c r="C138" s="2" t="s">
        <v>20</v>
      </c>
      <c r="D138">
        <v>1</v>
      </c>
      <c r="E138" s="2">
        <v>842</v>
      </c>
      <c r="F138">
        <v>21</v>
      </c>
      <c r="G138">
        <v>2</v>
      </c>
      <c r="H138" s="2" t="s">
        <v>11</v>
      </c>
    </row>
    <row r="139" spans="1:8">
      <c r="A139" s="2" t="s">
        <v>181</v>
      </c>
      <c r="B139" s="3">
        <v>46287</v>
      </c>
      <c r="C139" s="2" t="s">
        <v>22</v>
      </c>
      <c r="D139">
        <v>1</v>
      </c>
      <c r="E139" s="2">
        <v>1079</v>
      </c>
      <c r="F139">
        <v>24</v>
      </c>
      <c r="G139">
        <v>3</v>
      </c>
      <c r="H139" s="2" t="s">
        <v>14</v>
      </c>
    </row>
    <row r="140" spans="1:8">
      <c r="A140" s="2" t="s">
        <v>182</v>
      </c>
      <c r="B140" s="3">
        <v>46287</v>
      </c>
      <c r="C140" s="2" t="s">
        <v>10</v>
      </c>
      <c r="D140">
        <v>1.5</v>
      </c>
      <c r="E140" s="2">
        <v>1046</v>
      </c>
      <c r="F140">
        <v>27</v>
      </c>
      <c r="G140">
        <v>4</v>
      </c>
      <c r="H140" s="2" t="s">
        <v>11</v>
      </c>
    </row>
    <row r="141" spans="1:8">
      <c r="A141" s="2" t="s">
        <v>183</v>
      </c>
      <c r="B141" s="3">
        <v>46287</v>
      </c>
      <c r="C141" s="2" t="s">
        <v>13</v>
      </c>
      <c r="D141">
        <v>2</v>
      </c>
      <c r="E141" s="2">
        <v>1183</v>
      </c>
      <c r="F141">
        <v>30</v>
      </c>
      <c r="G141">
        <v>5</v>
      </c>
      <c r="H141" s="2" t="s">
        <v>14</v>
      </c>
    </row>
    <row r="142" spans="1:8">
      <c r="A142" s="2" t="s">
        <v>184</v>
      </c>
      <c r="B142" s="3">
        <v>46287</v>
      </c>
      <c r="C142" s="2" t="s">
        <v>16</v>
      </c>
      <c r="D142">
        <v>1</v>
      </c>
      <c r="E142" s="2">
        <v>1040</v>
      </c>
      <c r="F142">
        <v>14</v>
      </c>
      <c r="G142">
        <v>2</v>
      </c>
      <c r="H142" s="2" t="s">
        <v>11</v>
      </c>
    </row>
    <row r="143" spans="1:8">
      <c r="A143" s="2" t="s">
        <v>185</v>
      </c>
      <c r="B143" s="3">
        <v>46287</v>
      </c>
      <c r="C143" s="2" t="s">
        <v>18</v>
      </c>
      <c r="D143">
        <v>1</v>
      </c>
      <c r="E143" s="2">
        <v>1167</v>
      </c>
      <c r="F143">
        <v>17</v>
      </c>
      <c r="G143">
        <v>3</v>
      </c>
      <c r="H143" s="2" t="s">
        <v>14</v>
      </c>
    </row>
    <row r="144" spans="1:8">
      <c r="A144" s="2" t="s">
        <v>186</v>
      </c>
      <c r="B144" s="3">
        <v>46287</v>
      </c>
      <c r="C144" s="2" t="s">
        <v>20</v>
      </c>
      <c r="D144">
        <v>1</v>
      </c>
      <c r="E144" s="2">
        <v>804</v>
      </c>
      <c r="F144">
        <v>20</v>
      </c>
      <c r="G144">
        <v>4</v>
      </c>
      <c r="H144" s="2" t="s">
        <v>11</v>
      </c>
    </row>
    <row r="145" spans="1:8">
      <c r="A145" s="2" t="s">
        <v>187</v>
      </c>
      <c r="B145" s="3">
        <v>46287</v>
      </c>
      <c r="C145" s="2" t="s">
        <v>22</v>
      </c>
      <c r="D145">
        <v>1.5</v>
      </c>
      <c r="E145" s="2">
        <v>1041</v>
      </c>
      <c r="F145">
        <v>23</v>
      </c>
      <c r="G145">
        <v>5</v>
      </c>
      <c r="H145" s="2" t="s">
        <v>14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D11" sqref="D11"/>
    </sheetView>
  </sheetViews>
  <sheetFormatPr baseColWidth="10" defaultColWidth="8.6640625" defaultRowHeight="14"/>
  <cols>
    <col min="1" max="1" width="9.5" customWidth="1"/>
    <col min="2" max="2" width="17.5" customWidth="1"/>
    <col min="3" max="3" width="19.58203125" customWidth="1"/>
  </cols>
  <sheetData>
    <row r="1" spans="1:3">
      <c r="A1" t="s">
        <v>2</v>
      </c>
      <c r="B1" t="s">
        <v>188</v>
      </c>
      <c r="C1" s="4" t="s">
        <v>189</v>
      </c>
    </row>
    <row r="2" spans="1:3">
      <c r="A2" t="s">
        <v>10</v>
      </c>
      <c r="B2">
        <f>COUNTIF(Bereinigt!C:C,A2)</f>
        <v>24</v>
      </c>
      <c r="C2" s="4">
        <f>AVERAGEIF(Bereinigt!C:C,A2,Bereinigt!E:E)</f>
        <v>1017.1666666666666</v>
      </c>
    </row>
    <row r="3" spans="1:3">
      <c r="A3" t="s">
        <v>13</v>
      </c>
      <c r="B3">
        <f>COUNTIF(Bereinigt!C:C,A3)</f>
        <v>23</v>
      </c>
      <c r="C3" s="4">
        <f>AVERAGEIF(Bereinigt!C:C,A3,Bereinigt!E:E)</f>
        <v>1116.8260869565217</v>
      </c>
    </row>
    <row r="4" spans="1:3">
      <c r="A4" t="s">
        <v>16</v>
      </c>
      <c r="B4">
        <f>COUNTIF(Bereinigt!C:C,A4)</f>
        <v>24</v>
      </c>
      <c r="C4" s="4">
        <f>AVERAGEIF(Bereinigt!C:C,A4,Bereinigt!E:E)</f>
        <v>934</v>
      </c>
    </row>
    <row r="5" spans="1:3">
      <c r="A5" t="s">
        <v>18</v>
      </c>
      <c r="B5">
        <f>COUNTIF(Bereinigt!C:C,A5)</f>
        <v>24</v>
      </c>
      <c r="C5" s="4">
        <f>AVERAGEIF(Bereinigt!C:C,A5,Bereinigt!E:E)</f>
        <v>1261.5652173913043</v>
      </c>
    </row>
    <row r="6" spans="1:3">
      <c r="A6" t="s">
        <v>20</v>
      </c>
      <c r="B6">
        <f>COUNTIF(Bereinigt!C:C,A6)</f>
        <v>25</v>
      </c>
      <c r="C6" s="4">
        <f>AVERAGEIF(Bereinigt!C:C,A6,Bereinigt!E:E)</f>
        <v>894.08333333333337</v>
      </c>
    </row>
    <row r="7" spans="1:3">
      <c r="A7" t="s">
        <v>22</v>
      </c>
      <c r="B7">
        <f>COUNTIF(Bereinigt!C:C,A7)</f>
        <v>24</v>
      </c>
      <c r="C7" s="4">
        <f>AVERAGEIF(Bereinigt!C:C,A7,Bereinigt!E:E)</f>
        <v>1086.9347826086957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20" sqref="M20"/>
    </sheetView>
  </sheetViews>
  <sheetFormatPr baseColWidth="10" defaultColWidth="8.6640625" defaultRowHeight="1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5274-8A86-4FAB-BCC7-6E1B73D4C787}">
  <dimension ref="A1:B8"/>
  <sheetViews>
    <sheetView workbookViewId="0">
      <selection activeCell="B11" sqref="B11"/>
    </sheetView>
  </sheetViews>
  <sheetFormatPr baseColWidth="10" defaultRowHeight="14"/>
  <cols>
    <col min="1" max="1" width="39.1640625" customWidth="1"/>
    <col min="2" max="2" width="39.33203125" customWidth="1"/>
  </cols>
  <sheetData>
    <row r="1" spans="1:2">
      <c r="A1" t="s">
        <v>203</v>
      </c>
      <c r="B1" t="s">
        <v>204</v>
      </c>
    </row>
    <row r="2" spans="1:2">
      <c r="A2" t="s">
        <v>191</v>
      </c>
      <c r="B2" t="s">
        <v>192</v>
      </c>
    </row>
    <row r="3" spans="1:2">
      <c r="A3" t="s">
        <v>201</v>
      </c>
      <c r="B3" t="s">
        <v>193</v>
      </c>
    </row>
    <row r="4" spans="1:2">
      <c r="A4" t="s">
        <v>202</v>
      </c>
      <c r="B4" t="s">
        <v>194</v>
      </c>
    </row>
    <row r="5" spans="1:2">
      <c r="A5" t="s">
        <v>195</v>
      </c>
      <c r="B5" t="s">
        <v>192</v>
      </c>
    </row>
    <row r="6" spans="1:2">
      <c r="A6" t="s">
        <v>196</v>
      </c>
      <c r="B6" t="s">
        <v>192</v>
      </c>
    </row>
    <row r="7" spans="1:2">
      <c r="A7" t="s">
        <v>197</v>
      </c>
      <c r="B7" t="s">
        <v>198</v>
      </c>
    </row>
    <row r="8" spans="1:2">
      <c r="A8" t="s">
        <v>199</v>
      </c>
      <c r="B8" t="s">
        <v>200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46620-1701-4C13-A2A8-CA0575A6B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Rohdaten</vt:lpstr>
      <vt:lpstr>Bereinigt</vt:lpstr>
      <vt:lpstr>Auswertung</vt:lpstr>
      <vt:lpstr>Diagramme</vt:lpstr>
      <vt:lpstr>Datenqualität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Vögele</dc:creator>
  <cp:lastModifiedBy>Vögele Florian Kaan</cp:lastModifiedBy>
  <dcterms:created xsi:type="dcterms:W3CDTF">2026-09-11T09:16:28Z</dcterms:created>
  <dcterms:modified xsi:type="dcterms:W3CDTF">2026-09-11T11:50:22Z</dcterms:modified>
</cp:coreProperties>
</file>